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OctavioLuisElliotFre\Desktop\"/>
    </mc:Choice>
  </mc:AlternateContent>
  <xr:revisionPtr revIDLastSave="0" documentId="8_{08C51E2D-8BA4-494D-AC23-3F97B3AC7AAB}" xr6:coauthVersionLast="44" xr6:coauthVersionMax="44" xr10:uidLastSave="{00000000-0000-0000-0000-000000000000}"/>
  <bookViews>
    <workbookView xWindow="-108" yWindow="-108" windowWidth="23256" windowHeight="12576" tabRatio="674" xr2:uid="{00000000-000D-0000-FFFF-FFFF00000000}"/>
  </bookViews>
  <sheets>
    <sheet name="Invoicing" sheetId="1" r:id="rId1"/>
    <sheet name="Inventory 04302015 - 06012015 " sheetId="2" r:id="rId2"/>
    <sheet name="inventory 06012015-07012015 " sheetId="3" r:id="rId3"/>
    <sheet name="inventory 07012015-08032015" sheetId="4" r:id="rId4"/>
    <sheet name="inventory 08032015-09042015" sheetId="5" state="hidden" r:id="rId5"/>
    <sheet name="Inventory 09042015-10012015" sheetId="6" state="hidden" r:id="rId6"/>
    <sheet name="inventory 10012015 - 11012015" sheetId="7" state="hidden" r:id="rId7"/>
    <sheet name="inventory 11012015-12012015" sheetId="8" state="hidden" r:id="rId8"/>
    <sheet name="inventory 12012015-01042016" sheetId="10" state="hidden" r:id="rId9"/>
    <sheet name="Inventory 01012016-02012016 " sheetId="11" state="hidden" r:id="rId10"/>
    <sheet name="inventory 02012016-030126" sheetId="12" state="hidden" r:id="rId11"/>
    <sheet name="Inventory 03012016-04012016" sheetId="13" state="hidden" r:id="rId12"/>
    <sheet name="Inventory 04012016-05012016" sheetId="14" state="hidden" r:id="rId13"/>
    <sheet name="inventory 05012016-06012016 " sheetId="15" state="hidden" r:id="rId14"/>
    <sheet name="Inventory 06012016-07012016  " sheetId="16" state="hidden" r:id="rId15"/>
    <sheet name="inventory 07012016-08012016" sheetId="18" state="hidden" r:id="rId16"/>
    <sheet name="inventory 08012016-09012016" sheetId="19" state="hidden" r:id="rId17"/>
    <sheet name="Inventory 09012016-10012016" sheetId="20" state="hidden" r:id="rId18"/>
    <sheet name="inventory 10012016 - 11012016" sheetId="21" state="hidden" r:id="rId19"/>
    <sheet name="Inventory 11012016 - 12012016" sheetId="22" state="hidden" r:id="rId20"/>
    <sheet name="inventory 12012016 - 01012017 " sheetId="23" state="hidden" r:id="rId21"/>
    <sheet name="Inventory 01012017 02012017" sheetId="24" state="hidden" r:id="rId22"/>
    <sheet name="inventory 02012017 03012017" sheetId="25" state="hidden" r:id="rId23"/>
    <sheet name="inventory 03012017 04012017" sheetId="40" state="hidden" r:id="rId24"/>
    <sheet name="Inventory 04012017 05012017" sheetId="43" state="hidden" r:id="rId25"/>
    <sheet name="inventory 05012017 05312017" sheetId="45" state="hidden" r:id="rId26"/>
    <sheet name="inventory 06012017 07012017" sheetId="46" state="hidden" r:id="rId27"/>
    <sheet name="inventory 07012017 08012017 " sheetId="47" state="hidden" r:id="rId28"/>
    <sheet name="inventory 08012017 09012017" sheetId="48" state="hidden" r:id="rId29"/>
    <sheet name="inventory 09012017   10012017" sheetId="49" state="hidden" r:id="rId30"/>
    <sheet name="Inventory 10012017 11012017" sheetId="50" state="hidden" r:id="rId31"/>
    <sheet name="Inventory 11012017 12012017 " sheetId="51" state="hidden" r:id="rId32"/>
    <sheet name="inventory 12012017 01012018" sheetId="52" state="hidden" r:id="rId33"/>
    <sheet name="inventory 01012018 02012018" sheetId="54" state="hidden" r:id="rId34"/>
    <sheet name="inventory 02012018 03012018" sheetId="55" state="hidden" r:id="rId35"/>
    <sheet name="inventory 03012018 04012018" sheetId="56" state="hidden" r:id="rId36"/>
    <sheet name="Inventory 04012018 05012018" sheetId="57" state="hidden" r:id="rId37"/>
    <sheet name="Inventory 05012018 06012018" sheetId="58" state="hidden" r:id="rId38"/>
    <sheet name="Inventory 06012018 07012018" sheetId="59" state="hidden" r:id="rId39"/>
    <sheet name="inventory 07012018 08012018" sheetId="60" state="hidden" r:id="rId40"/>
    <sheet name="Inventory 08012018 09012018 " sheetId="61" state="hidden" r:id="rId41"/>
    <sheet name="Inventory 09012018 10012018" sheetId="62" state="hidden" r:id="rId42"/>
    <sheet name="Inventory 10012018 11012018" sheetId="63" state="hidden" r:id="rId43"/>
    <sheet name="Inventory 11012018 12012018" sheetId="64" state="hidden" r:id="rId44"/>
    <sheet name="Inventory 12.01.2018 01.01.2019" sheetId="65" state="hidden" r:id="rId45"/>
    <sheet name="Inventory 01.01.2019 02.01.2019" sheetId="67" state="hidden" r:id="rId46"/>
    <sheet name="Inventory 02.01.2019 03.01.2019" sheetId="68" state="hidden" r:id="rId47"/>
    <sheet name="Inventory 03.01.2019 04.01.2019" sheetId="69" state="hidden" r:id="rId48"/>
    <sheet name="Inventory 04.01.2019 05.01.2019" sheetId="70" state="hidden" r:id="rId49"/>
    <sheet name="Inventory 05.01.2019 06.01.2019" sheetId="71" state="hidden" r:id="rId50"/>
    <sheet name="Inventory 06.01.2019 07.01.2019" sheetId="72" r:id="rId51"/>
    <sheet name="Inventory 07.01.2019 08.01.2019" sheetId="73" r:id="rId52"/>
    <sheet name="Inventory 08.01.2019 09.01.2019" sheetId="75" r:id="rId53"/>
    <sheet name="Inventory 09.01.2019 10.01.2019" sheetId="77" r:id="rId54"/>
    <sheet name="Inventory 10.01.2019 11.01.2019" sheetId="78" r:id="rId55"/>
    <sheet name="Inventory 11.01.2019 12.01.2019" sheetId="79" r:id="rId56"/>
    <sheet name="Inventory 12.01.2019 01.01.2020" sheetId="80" r:id="rId57"/>
    <sheet name="Inventory 01.01.2020 02.01.2020" sheetId="81" r:id="rId58"/>
    <sheet name="Inventory 02.01.2020 03.01.2020" sheetId="82" r:id="rId59"/>
    <sheet name="Inventory 03.01.2020 04.01.2020" sheetId="83" r:id="rId60"/>
    <sheet name="Inventory 4.01.2020 5.01.2020" sheetId="90" r:id="rId61"/>
  </sheets>
  <externalReferences>
    <externalReference r:id="rId6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9" i="1" l="1"/>
  <c r="C37" i="1"/>
  <c r="C41" i="1" s="1"/>
  <c r="C36" i="1"/>
  <c r="E32" i="90"/>
  <c r="D32" i="90"/>
  <c r="C32" i="90"/>
  <c r="G31" i="90"/>
  <c r="G30" i="90"/>
  <c r="G29" i="90"/>
  <c r="G28" i="90"/>
  <c r="F24" i="90"/>
  <c r="E24" i="90"/>
  <c r="D24" i="90"/>
  <c r="C24" i="90"/>
  <c r="G24" i="90" s="1"/>
  <c r="G23" i="90"/>
  <c r="G22" i="90"/>
  <c r="G21" i="90"/>
  <c r="G20" i="90"/>
  <c r="F16" i="90"/>
  <c r="E16" i="90"/>
  <c r="D16" i="90"/>
  <c r="C16" i="90"/>
  <c r="G15" i="90"/>
  <c r="G14" i="90"/>
  <c r="G13" i="90"/>
  <c r="G12" i="90"/>
  <c r="G16" i="90" s="1"/>
  <c r="E7" i="90"/>
  <c r="D7" i="90"/>
  <c r="C7" i="90"/>
  <c r="G6" i="90"/>
  <c r="G5" i="90"/>
  <c r="G4" i="90"/>
  <c r="G3" i="90"/>
  <c r="G7" i="90" s="1"/>
  <c r="F37" i="90" l="1"/>
  <c r="F35" i="90"/>
  <c r="F36" i="90"/>
  <c r="G32" i="90"/>
  <c r="E39" i="1"/>
  <c r="D39" i="1"/>
  <c r="D37" i="1"/>
  <c r="E37" i="1"/>
  <c r="AU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39" i="1"/>
  <c r="H39" i="1"/>
  <c r="G39" i="1"/>
  <c r="F39" i="1"/>
  <c r="I37" i="1"/>
  <c r="H37" i="1"/>
  <c r="G37" i="1"/>
  <c r="F37" i="1"/>
  <c r="BM36" i="1"/>
  <c r="BL36" i="1"/>
  <c r="BK36" i="1"/>
  <c r="BK46" i="1" s="1"/>
  <c r="BJ36" i="1"/>
  <c r="BI36" i="1"/>
  <c r="BH36" i="1"/>
  <c r="BG36" i="1"/>
  <c r="BF36" i="1"/>
  <c r="BE36" i="1"/>
  <c r="BC36" i="1"/>
  <c r="BB36" i="1"/>
  <c r="BB45" i="1" s="1"/>
  <c r="BA36" i="1"/>
  <c r="BA45" i="1" s="1"/>
  <c r="AZ36" i="1"/>
  <c r="AZ45" i="1" s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BD8" i="1"/>
  <c r="BD36" i="1" s="1"/>
  <c r="F38" i="90" l="1"/>
  <c r="F41" i="1"/>
  <c r="E41" i="1"/>
  <c r="G41" i="1"/>
  <c r="H41" i="1"/>
  <c r="I41" i="1"/>
  <c r="D41" i="1"/>
  <c r="E32" i="83"/>
  <c r="D32" i="83"/>
  <c r="C32" i="83"/>
  <c r="G31" i="83"/>
  <c r="F37" i="83" s="1"/>
  <c r="G30" i="83"/>
  <c r="G29" i="83"/>
  <c r="F36" i="83" s="1"/>
  <c r="G28" i="83"/>
  <c r="F24" i="83"/>
  <c r="E24" i="83"/>
  <c r="D24" i="83"/>
  <c r="C24" i="83"/>
  <c r="G23" i="83"/>
  <c r="G22" i="83"/>
  <c r="G21" i="83"/>
  <c r="G20" i="83"/>
  <c r="F16" i="83"/>
  <c r="E16" i="83"/>
  <c r="D16" i="83"/>
  <c r="C16" i="83"/>
  <c r="G15" i="83"/>
  <c r="G14" i="83"/>
  <c r="G13" i="83"/>
  <c r="G12" i="83"/>
  <c r="E7" i="83"/>
  <c r="D7" i="83"/>
  <c r="C7" i="83"/>
  <c r="G6" i="83"/>
  <c r="G5" i="83"/>
  <c r="G7" i="83" s="1"/>
  <c r="G4" i="83"/>
  <c r="G3" i="83"/>
  <c r="G16" i="83" l="1"/>
  <c r="G24" i="83"/>
  <c r="G32" i="83"/>
  <c r="F35" i="83"/>
  <c r="F38" i="83" s="1"/>
  <c r="E7" i="82"/>
  <c r="D7" i="82"/>
  <c r="C7" i="82"/>
  <c r="G6" i="82"/>
  <c r="G5" i="82"/>
  <c r="G4" i="82"/>
  <c r="G3" i="82"/>
  <c r="E32" i="82"/>
  <c r="D32" i="82"/>
  <c r="C32" i="82"/>
  <c r="G31" i="82"/>
  <c r="G30" i="82"/>
  <c r="G29" i="82"/>
  <c r="G28" i="82"/>
  <c r="F24" i="82"/>
  <c r="E24" i="82"/>
  <c r="D24" i="82"/>
  <c r="C24" i="82"/>
  <c r="G23" i="82"/>
  <c r="G22" i="82"/>
  <c r="G21" i="82"/>
  <c r="G20" i="82"/>
  <c r="F16" i="82"/>
  <c r="E16" i="82"/>
  <c r="D16" i="82"/>
  <c r="C16" i="82"/>
  <c r="G15" i="82"/>
  <c r="G14" i="82"/>
  <c r="G13" i="82"/>
  <c r="G12" i="82"/>
  <c r="G7" i="82" l="1"/>
  <c r="G16" i="82"/>
  <c r="F36" i="82"/>
  <c r="G32" i="82"/>
  <c r="F37" i="82"/>
  <c r="G24" i="82"/>
  <c r="F35" i="82"/>
  <c r="F38" i="82" l="1"/>
  <c r="E32" i="81"/>
  <c r="D32" i="81"/>
  <c r="C32" i="81"/>
  <c r="G31" i="81"/>
  <c r="G30" i="81"/>
  <c r="G29" i="81"/>
  <c r="G28" i="81"/>
  <c r="F24" i="81"/>
  <c r="E24" i="81"/>
  <c r="D24" i="81"/>
  <c r="C24" i="81"/>
  <c r="G23" i="81"/>
  <c r="G22" i="81"/>
  <c r="G21" i="81"/>
  <c r="G20" i="81"/>
  <c r="F16" i="81"/>
  <c r="E16" i="81"/>
  <c r="D16" i="81"/>
  <c r="C16" i="81"/>
  <c r="G15" i="81"/>
  <c r="G14" i="81"/>
  <c r="G13" i="81"/>
  <c r="G12" i="81"/>
  <c r="G16" i="81" s="1"/>
  <c r="E7" i="81"/>
  <c r="D7" i="81"/>
  <c r="C7" i="81"/>
  <c r="G6" i="81"/>
  <c r="G5" i="81"/>
  <c r="G4" i="81"/>
  <c r="G3" i="81"/>
  <c r="G24" i="81" l="1"/>
  <c r="F35" i="81"/>
  <c r="F36" i="81"/>
  <c r="F37" i="81"/>
  <c r="G7" i="81"/>
  <c r="G32" i="81"/>
  <c r="E32" i="80"/>
  <c r="D32" i="80"/>
  <c r="C32" i="80"/>
  <c r="G31" i="80"/>
  <c r="F37" i="80" s="1"/>
  <c r="G30" i="80"/>
  <c r="G29" i="80"/>
  <c r="G28" i="80"/>
  <c r="F24" i="80"/>
  <c r="E24" i="80"/>
  <c r="D24" i="80"/>
  <c r="C24" i="80"/>
  <c r="G23" i="80"/>
  <c r="G22" i="80"/>
  <c r="G21" i="80"/>
  <c r="G20" i="80"/>
  <c r="F16" i="80"/>
  <c r="E16" i="80"/>
  <c r="D16" i="80"/>
  <c r="C16" i="80"/>
  <c r="G15" i="80"/>
  <c r="G14" i="80"/>
  <c r="G13" i="80"/>
  <c r="G12" i="80"/>
  <c r="E7" i="80"/>
  <c r="D7" i="80"/>
  <c r="C7" i="80"/>
  <c r="G6" i="80"/>
  <c r="G5" i="80"/>
  <c r="G4" i="80"/>
  <c r="G3" i="80"/>
  <c r="G7" i="80" s="1"/>
  <c r="F38" i="81" l="1"/>
  <c r="G32" i="80"/>
  <c r="F36" i="80"/>
  <c r="G16" i="80"/>
  <c r="G24" i="80"/>
  <c r="F35" i="80"/>
  <c r="E7" i="79"/>
  <c r="D7" i="79"/>
  <c r="C7" i="79"/>
  <c r="G6" i="79"/>
  <c r="G5" i="79"/>
  <c r="G4" i="79"/>
  <c r="G3" i="79"/>
  <c r="G7" i="79" s="1"/>
  <c r="E32" i="79"/>
  <c r="D32" i="79"/>
  <c r="C32" i="79"/>
  <c r="G31" i="79"/>
  <c r="F37" i="79" s="1"/>
  <c r="G30" i="79"/>
  <c r="G29" i="79"/>
  <c r="G28" i="79"/>
  <c r="F24" i="79"/>
  <c r="E24" i="79"/>
  <c r="D24" i="79"/>
  <c r="C24" i="79"/>
  <c r="G23" i="79"/>
  <c r="G22" i="79"/>
  <c r="G21" i="79"/>
  <c r="G20" i="79"/>
  <c r="F16" i="79"/>
  <c r="E16" i="79"/>
  <c r="D16" i="79"/>
  <c r="C16" i="79"/>
  <c r="G15" i="79"/>
  <c r="G14" i="79"/>
  <c r="G13" i="79"/>
  <c r="G12" i="79"/>
  <c r="F36" i="79" l="1"/>
  <c r="F38" i="80"/>
  <c r="F35" i="79"/>
  <c r="G16" i="79"/>
  <c r="G24" i="79"/>
  <c r="F38" i="79"/>
  <c r="G32" i="79"/>
  <c r="G12" i="78"/>
  <c r="G13" i="78"/>
  <c r="G14" i="78"/>
  <c r="G15" i="78"/>
  <c r="D16" i="78"/>
  <c r="E16" i="78"/>
  <c r="F16" i="78"/>
  <c r="E7" i="78"/>
  <c r="D7" i="78"/>
  <c r="C7" i="78"/>
  <c r="G6" i="78"/>
  <c r="G5" i="78"/>
  <c r="G4" i="78"/>
  <c r="G3" i="78"/>
  <c r="G7" i="78" s="1"/>
  <c r="E32" i="78"/>
  <c r="D32" i="78"/>
  <c r="C32" i="78"/>
  <c r="G31" i="78"/>
  <c r="G30" i="78"/>
  <c r="G29" i="78"/>
  <c r="G28" i="78"/>
  <c r="F24" i="78"/>
  <c r="E24" i="78"/>
  <c r="D24" i="78"/>
  <c r="C24" i="78"/>
  <c r="G23" i="78"/>
  <c r="G22" i="78"/>
  <c r="G21" i="78"/>
  <c r="G20" i="78"/>
  <c r="C16" i="78"/>
  <c r="F37" i="78" l="1"/>
  <c r="G16" i="78"/>
  <c r="G24" i="78"/>
  <c r="G32" i="78"/>
  <c r="F36" i="78"/>
  <c r="F35" i="78"/>
  <c r="F38" i="78" s="1"/>
  <c r="G12" i="77"/>
  <c r="G13" i="77"/>
  <c r="G14" i="77"/>
  <c r="G15" i="77"/>
  <c r="E7" i="77" l="1"/>
  <c r="D7" i="77"/>
  <c r="C7" i="77"/>
  <c r="G6" i="77"/>
  <c r="G5" i="77"/>
  <c r="G4" i="77"/>
  <c r="G3" i="77"/>
  <c r="F36" i="77"/>
  <c r="E32" i="77"/>
  <c r="D32" i="77"/>
  <c r="C32" i="77"/>
  <c r="G31" i="77"/>
  <c r="F37" i="77" s="1"/>
  <c r="G30" i="77"/>
  <c r="G29" i="77"/>
  <c r="G28" i="77"/>
  <c r="F24" i="77"/>
  <c r="E24" i="77"/>
  <c r="D24" i="77"/>
  <c r="C24" i="77"/>
  <c r="G23" i="77"/>
  <c r="G22" i="77"/>
  <c r="G21" i="77"/>
  <c r="G20" i="77"/>
  <c r="D16" i="77"/>
  <c r="C16" i="77"/>
  <c r="G7" i="77" l="1"/>
  <c r="G16" i="77"/>
  <c r="G24" i="77"/>
  <c r="G32" i="77"/>
  <c r="F35" i="77"/>
  <c r="F38" i="77" s="1"/>
  <c r="E7" i="75" l="1"/>
  <c r="D7" i="75"/>
  <c r="C7" i="75"/>
  <c r="G6" i="75"/>
  <c r="G5" i="75"/>
  <c r="G4" i="75"/>
  <c r="G3" i="75"/>
  <c r="G7" i="75" s="1"/>
  <c r="E32" i="75"/>
  <c r="D32" i="75"/>
  <c r="C32" i="75"/>
  <c r="G31" i="75"/>
  <c r="G30" i="75"/>
  <c r="G29" i="75"/>
  <c r="F36" i="75" s="1"/>
  <c r="G28" i="75"/>
  <c r="F35" i="75" s="1"/>
  <c r="F24" i="75"/>
  <c r="E24" i="75"/>
  <c r="D24" i="75"/>
  <c r="C24" i="75"/>
  <c r="G23" i="75"/>
  <c r="G22" i="75"/>
  <c r="G21" i="75"/>
  <c r="G20" i="75"/>
  <c r="D16" i="75"/>
  <c r="C16" i="75"/>
  <c r="G15" i="75"/>
  <c r="G14" i="75"/>
  <c r="G13" i="75"/>
  <c r="G12" i="75"/>
  <c r="F37" i="75" l="1"/>
  <c r="G16" i="75"/>
  <c r="G24" i="75"/>
  <c r="F38" i="75"/>
  <c r="G32" i="75"/>
  <c r="E7" i="73"/>
  <c r="D7" i="73"/>
  <c r="C7" i="73"/>
  <c r="G6" i="73"/>
  <c r="G5" i="73"/>
  <c r="G4" i="73"/>
  <c r="G3" i="73"/>
  <c r="G7" i="73" s="1"/>
  <c r="G3" i="72"/>
  <c r="G4" i="72"/>
  <c r="G5" i="72"/>
  <c r="G6" i="72"/>
  <c r="G7" i="72" s="1"/>
  <c r="C7" i="72"/>
  <c r="D7" i="72"/>
  <c r="E7" i="72"/>
  <c r="E32" i="73" l="1"/>
  <c r="D32" i="73"/>
  <c r="C32" i="73"/>
  <c r="G31" i="73"/>
  <c r="F37" i="73" s="1"/>
  <c r="G30" i="73"/>
  <c r="G29" i="73"/>
  <c r="F36" i="73" s="1"/>
  <c r="G28" i="73"/>
  <c r="F35" i="73" s="1"/>
  <c r="F24" i="73"/>
  <c r="E24" i="73"/>
  <c r="D24" i="73"/>
  <c r="C24" i="73"/>
  <c r="G23" i="73"/>
  <c r="G22" i="73"/>
  <c r="G21" i="73"/>
  <c r="G20" i="73"/>
  <c r="D16" i="73"/>
  <c r="C16" i="73"/>
  <c r="G15" i="73"/>
  <c r="G14" i="73"/>
  <c r="G13" i="73"/>
  <c r="G12" i="73"/>
  <c r="G32" i="73" l="1"/>
  <c r="F38" i="73"/>
  <c r="G16" i="73"/>
  <c r="G24" i="73"/>
  <c r="G22" i="72" l="1"/>
  <c r="E32" i="72"/>
  <c r="D32" i="72"/>
  <c r="C32" i="72"/>
  <c r="G31" i="72"/>
  <c r="G30" i="72"/>
  <c r="G29" i="72"/>
  <c r="G28" i="72"/>
  <c r="F24" i="72"/>
  <c r="E24" i="72"/>
  <c r="D24" i="72"/>
  <c r="C24" i="72"/>
  <c r="G23" i="72"/>
  <c r="G21" i="72"/>
  <c r="G20" i="72"/>
  <c r="D16" i="72"/>
  <c r="C16" i="72"/>
  <c r="G15" i="72"/>
  <c r="G14" i="72"/>
  <c r="G13" i="72"/>
  <c r="G12" i="72"/>
  <c r="F37" i="72" l="1"/>
  <c r="G16" i="72"/>
  <c r="G24" i="72"/>
  <c r="G32" i="72"/>
  <c r="F36" i="72"/>
  <c r="F35" i="72"/>
  <c r="E7" i="71"/>
  <c r="D7" i="71"/>
  <c r="C7" i="71"/>
  <c r="G6" i="71"/>
  <c r="G5" i="71"/>
  <c r="G4" i="71"/>
  <c r="G3" i="71"/>
  <c r="G7" i="71" s="1"/>
  <c r="F38" i="72" l="1"/>
  <c r="E31" i="71" l="1"/>
  <c r="D31" i="71"/>
  <c r="C31" i="71"/>
  <c r="G30" i="71"/>
  <c r="F36" i="71" s="1"/>
  <c r="G29" i="71"/>
  <c r="G28" i="71"/>
  <c r="F35" i="71" s="1"/>
  <c r="G27" i="71"/>
  <c r="F23" i="71"/>
  <c r="E23" i="71"/>
  <c r="D23" i="71"/>
  <c r="C23" i="71"/>
  <c r="G22" i="71"/>
  <c r="G21" i="71"/>
  <c r="G20" i="71"/>
  <c r="D16" i="71"/>
  <c r="C16" i="71"/>
  <c r="G15" i="71"/>
  <c r="G14" i="71"/>
  <c r="G13" i="71"/>
  <c r="G12" i="71"/>
  <c r="G31" i="71" l="1"/>
  <c r="G23" i="71"/>
  <c r="G16" i="71"/>
  <c r="F34" i="71"/>
  <c r="F37" i="71" s="1"/>
  <c r="E7" i="70"/>
  <c r="D7" i="70"/>
  <c r="C7" i="70"/>
  <c r="G6" i="70"/>
  <c r="G5" i="70"/>
  <c r="G4" i="70"/>
  <c r="G3" i="70"/>
  <c r="E31" i="70"/>
  <c r="D31" i="70"/>
  <c r="C31" i="70"/>
  <c r="G30" i="70"/>
  <c r="G29" i="70"/>
  <c r="G28" i="70"/>
  <c r="F35" i="70" s="1"/>
  <c r="G27" i="70"/>
  <c r="F34" i="70" s="1"/>
  <c r="F23" i="70"/>
  <c r="E23" i="70"/>
  <c r="D23" i="70"/>
  <c r="C23" i="70"/>
  <c r="G22" i="70"/>
  <c r="G21" i="70"/>
  <c r="G20" i="70"/>
  <c r="D16" i="70"/>
  <c r="C16" i="70"/>
  <c r="G15" i="70"/>
  <c r="G14" i="70"/>
  <c r="G13" i="70"/>
  <c r="G12" i="70"/>
  <c r="F36" i="70" l="1"/>
  <c r="F37" i="70" s="1"/>
  <c r="G7" i="70"/>
  <c r="G23" i="70"/>
  <c r="G16" i="70"/>
  <c r="G31" i="70"/>
  <c r="E7" i="69"/>
  <c r="D7" i="69"/>
  <c r="C7" i="69"/>
  <c r="G6" i="69"/>
  <c r="G5" i="69"/>
  <c r="G4" i="69"/>
  <c r="G3" i="69"/>
  <c r="E31" i="69"/>
  <c r="D31" i="69"/>
  <c r="C31" i="69"/>
  <c r="G30" i="69"/>
  <c r="F36" i="69" s="1"/>
  <c r="G29" i="69"/>
  <c r="G28" i="69"/>
  <c r="G27" i="69"/>
  <c r="F34" i="69" s="1"/>
  <c r="F23" i="69"/>
  <c r="E23" i="69"/>
  <c r="D23" i="69"/>
  <c r="C23" i="69"/>
  <c r="G22" i="69"/>
  <c r="G21" i="69"/>
  <c r="G20" i="69"/>
  <c r="D16" i="69"/>
  <c r="C16" i="69"/>
  <c r="G15" i="69"/>
  <c r="G14" i="69"/>
  <c r="G13" i="69"/>
  <c r="G12" i="69"/>
  <c r="F35" i="69" l="1"/>
  <c r="F37" i="69" s="1"/>
  <c r="G23" i="69"/>
  <c r="G16" i="69"/>
  <c r="G7" i="69"/>
  <c r="G31" i="69"/>
  <c r="E31" i="68"/>
  <c r="D31" i="68"/>
  <c r="C31" i="68"/>
  <c r="G30" i="68"/>
  <c r="G29" i="68"/>
  <c r="G28" i="68"/>
  <c r="G27" i="68"/>
  <c r="F23" i="68"/>
  <c r="E23" i="68"/>
  <c r="D23" i="68"/>
  <c r="C23" i="68"/>
  <c r="G22" i="68"/>
  <c r="G21" i="68"/>
  <c r="G20" i="68"/>
  <c r="D16" i="68"/>
  <c r="C16" i="68"/>
  <c r="G15" i="68"/>
  <c r="G14" i="68"/>
  <c r="G13" i="68"/>
  <c r="G12" i="68"/>
  <c r="E7" i="68"/>
  <c r="D7" i="68"/>
  <c r="C7" i="68"/>
  <c r="G6" i="68"/>
  <c r="G5" i="68"/>
  <c r="G4" i="68"/>
  <c r="G3" i="68"/>
  <c r="F34" i="68" l="1"/>
  <c r="F36" i="68"/>
  <c r="F35" i="68"/>
  <c r="F37" i="68" s="1"/>
  <c r="G23" i="68"/>
  <c r="G16" i="68"/>
  <c r="G31" i="68"/>
  <c r="G7" i="68"/>
  <c r="C22" i="67" l="1"/>
  <c r="E30" i="67"/>
  <c r="D30" i="67"/>
  <c r="C30" i="67"/>
  <c r="G29" i="67"/>
  <c r="G28" i="67"/>
  <c r="G27" i="67"/>
  <c r="F34" i="67" s="1"/>
  <c r="G26" i="67"/>
  <c r="F22" i="67"/>
  <c r="E22" i="67"/>
  <c r="D22" i="67"/>
  <c r="G21" i="67"/>
  <c r="G20" i="67"/>
  <c r="G19" i="67"/>
  <c r="D15" i="67"/>
  <c r="C15" i="67"/>
  <c r="G14" i="67"/>
  <c r="G13" i="67"/>
  <c r="G12" i="67"/>
  <c r="G11" i="67"/>
  <c r="E7" i="67"/>
  <c r="D7" i="67"/>
  <c r="C7" i="67"/>
  <c r="G6" i="67"/>
  <c r="G5" i="67"/>
  <c r="G4" i="67"/>
  <c r="G3" i="67"/>
  <c r="G22" i="67" l="1"/>
  <c r="G15" i="67"/>
  <c r="F35" i="67"/>
  <c r="G7" i="67"/>
  <c r="F33" i="67"/>
  <c r="G30" i="67"/>
  <c r="E30" i="65"/>
  <c r="D30" i="65"/>
  <c r="C30" i="65"/>
  <c r="G29" i="65"/>
  <c r="G28" i="65"/>
  <c r="G27" i="65"/>
  <c r="G26" i="65"/>
  <c r="F22" i="65"/>
  <c r="E22" i="65"/>
  <c r="D22" i="65"/>
  <c r="C22" i="65"/>
  <c r="G21" i="65"/>
  <c r="G20" i="65"/>
  <c r="G19" i="65"/>
  <c r="D15" i="65"/>
  <c r="C15" i="65"/>
  <c r="G14" i="65"/>
  <c r="G13" i="65"/>
  <c r="G12" i="65"/>
  <c r="G11" i="65"/>
  <c r="E7" i="65"/>
  <c r="D7" i="65"/>
  <c r="C7" i="65"/>
  <c r="G6" i="65"/>
  <c r="G5" i="65"/>
  <c r="G4" i="65"/>
  <c r="G3" i="65"/>
  <c r="F33" i="65" l="1"/>
  <c r="G7" i="65"/>
  <c r="F36" i="67"/>
  <c r="G30" i="65"/>
  <c r="F35" i="65" s="1"/>
  <c r="F34" i="65"/>
  <c r="G22" i="65"/>
  <c r="G15" i="65"/>
  <c r="E7" i="64"/>
  <c r="D7" i="64"/>
  <c r="C7" i="64"/>
  <c r="G6" i="64"/>
  <c r="G5" i="64"/>
  <c r="G4" i="64"/>
  <c r="G3" i="64"/>
  <c r="E30" i="64"/>
  <c r="D30" i="64"/>
  <c r="C30" i="64"/>
  <c r="G29" i="64"/>
  <c r="G28" i="64"/>
  <c r="G27" i="64"/>
  <c r="G26" i="64"/>
  <c r="F22" i="64"/>
  <c r="E22" i="64"/>
  <c r="D22" i="64"/>
  <c r="C22" i="64"/>
  <c r="G21" i="64"/>
  <c r="G20" i="64"/>
  <c r="G19" i="64"/>
  <c r="D15" i="64"/>
  <c r="C15" i="64"/>
  <c r="G14" i="64"/>
  <c r="G13" i="64"/>
  <c r="G12" i="64"/>
  <c r="G11" i="64"/>
  <c r="F34" i="64" l="1"/>
  <c r="G15" i="64"/>
  <c r="F35" i="64"/>
  <c r="G7" i="64"/>
  <c r="F36" i="65"/>
  <c r="G30" i="64"/>
  <c r="G22" i="64"/>
  <c r="F33" i="64"/>
  <c r="F36" i="64" s="1"/>
  <c r="F22" i="63"/>
  <c r="E7" i="63" l="1"/>
  <c r="D7" i="63"/>
  <c r="C7" i="63"/>
  <c r="G6" i="63"/>
  <c r="G5" i="63"/>
  <c r="G4" i="63"/>
  <c r="G3" i="63"/>
  <c r="E30" i="63"/>
  <c r="D30" i="63"/>
  <c r="C30" i="63"/>
  <c r="G29" i="63"/>
  <c r="G28" i="63"/>
  <c r="G27" i="63"/>
  <c r="G26" i="63"/>
  <c r="E22" i="63"/>
  <c r="D22" i="63"/>
  <c r="C22" i="63"/>
  <c r="G21" i="63"/>
  <c r="G20" i="63"/>
  <c r="G19" i="63"/>
  <c r="D15" i="63"/>
  <c r="C15" i="63"/>
  <c r="G14" i="63"/>
  <c r="G13" i="63"/>
  <c r="G12" i="63"/>
  <c r="G11" i="63"/>
  <c r="G22" i="63" l="1"/>
  <c r="G7" i="63"/>
  <c r="G15" i="63"/>
  <c r="F35" i="63"/>
  <c r="F33" i="63"/>
  <c r="F34" i="63"/>
  <c r="G30" i="63"/>
  <c r="F22" i="62"/>
  <c r="F36" i="63" l="1"/>
  <c r="E7" i="62"/>
  <c r="D7" i="62"/>
  <c r="C7" i="62"/>
  <c r="G6" i="62"/>
  <c r="G5" i="62"/>
  <c r="G4" i="62"/>
  <c r="G3" i="62"/>
  <c r="E30" i="62"/>
  <c r="D30" i="62"/>
  <c r="C30" i="62"/>
  <c r="G29" i="62"/>
  <c r="G28" i="62"/>
  <c r="G27" i="62"/>
  <c r="G26" i="62"/>
  <c r="E22" i="62"/>
  <c r="D22" i="62"/>
  <c r="C22" i="62"/>
  <c r="G21" i="62"/>
  <c r="G20" i="62"/>
  <c r="G19" i="62"/>
  <c r="D15" i="62"/>
  <c r="C15" i="62"/>
  <c r="G14" i="62"/>
  <c r="G13" i="62"/>
  <c r="G12" i="62"/>
  <c r="G11" i="62"/>
  <c r="G22" i="62" l="1"/>
  <c r="G7" i="62"/>
  <c r="G15" i="62"/>
  <c r="F35" i="62"/>
  <c r="F33" i="62"/>
  <c r="F34" i="62"/>
  <c r="G30" i="62"/>
  <c r="F36" i="62" l="1"/>
  <c r="E7" i="61"/>
  <c r="D7" i="61"/>
  <c r="C7" i="61"/>
  <c r="G6" i="61"/>
  <c r="G5" i="61"/>
  <c r="G4" i="61"/>
  <c r="G3" i="61"/>
  <c r="E30" i="61"/>
  <c r="D30" i="61"/>
  <c r="C30" i="61"/>
  <c r="G29" i="61"/>
  <c r="G28" i="61"/>
  <c r="G27" i="61"/>
  <c r="G26" i="61"/>
  <c r="E22" i="61"/>
  <c r="D22" i="61"/>
  <c r="C22" i="61"/>
  <c r="G21" i="61"/>
  <c r="G20" i="61"/>
  <c r="G19" i="61"/>
  <c r="D15" i="61"/>
  <c r="C15" i="61"/>
  <c r="G14" i="61"/>
  <c r="G13" i="61"/>
  <c r="G12" i="61"/>
  <c r="G11" i="61"/>
  <c r="F34" i="61" l="1"/>
  <c r="G7" i="61"/>
  <c r="G15" i="61"/>
  <c r="G22" i="61"/>
  <c r="F35" i="61"/>
  <c r="F33" i="61"/>
  <c r="G30" i="61"/>
  <c r="F36" i="61" l="1"/>
  <c r="E7" i="60"/>
  <c r="D7" i="60"/>
  <c r="C7" i="60"/>
  <c r="G6" i="60"/>
  <c r="G5" i="60"/>
  <c r="G4" i="60"/>
  <c r="G3" i="60"/>
  <c r="E30" i="60"/>
  <c r="D30" i="60"/>
  <c r="C30" i="60"/>
  <c r="G29" i="60"/>
  <c r="G28" i="60"/>
  <c r="G27" i="60"/>
  <c r="G26" i="60"/>
  <c r="E22" i="60"/>
  <c r="D22" i="60"/>
  <c r="C22" i="60"/>
  <c r="G21" i="60"/>
  <c r="G20" i="60"/>
  <c r="G19" i="60"/>
  <c r="D15" i="60"/>
  <c r="C15" i="60"/>
  <c r="G14" i="60"/>
  <c r="G13" i="60"/>
  <c r="G12" i="60"/>
  <c r="G11" i="60"/>
  <c r="F34" i="60" l="1"/>
  <c r="G7" i="60"/>
  <c r="G30" i="60"/>
  <c r="F35" i="60"/>
  <c r="F33" i="60"/>
  <c r="F36" i="60" s="1"/>
  <c r="G15" i="60"/>
  <c r="G22" i="60"/>
  <c r="E7" i="59"/>
  <c r="D7" i="59"/>
  <c r="C7" i="59"/>
  <c r="G6" i="59"/>
  <c r="G5" i="59"/>
  <c r="G4" i="59"/>
  <c r="G3" i="59"/>
  <c r="E30" i="59"/>
  <c r="D30" i="59"/>
  <c r="C30" i="59"/>
  <c r="G29" i="59"/>
  <c r="G28" i="59"/>
  <c r="G27" i="59"/>
  <c r="G26" i="59"/>
  <c r="E22" i="59"/>
  <c r="D22" i="59"/>
  <c r="C22" i="59"/>
  <c r="G21" i="59"/>
  <c r="G20" i="59"/>
  <c r="G19" i="59"/>
  <c r="G22" i="59" s="1"/>
  <c r="D15" i="59"/>
  <c r="C15" i="59"/>
  <c r="G14" i="59"/>
  <c r="G13" i="59"/>
  <c r="G12" i="59"/>
  <c r="G11" i="59"/>
  <c r="G7" i="59" l="1"/>
  <c r="G30" i="59"/>
  <c r="G15" i="59"/>
  <c r="F35" i="59"/>
  <c r="F34" i="59"/>
  <c r="F33" i="59"/>
  <c r="E7" i="58"/>
  <c r="D7" i="58"/>
  <c r="C7" i="58"/>
  <c r="G6" i="58"/>
  <c r="G5" i="58"/>
  <c r="G4" i="58"/>
  <c r="G3" i="58"/>
  <c r="E30" i="58"/>
  <c r="D30" i="58"/>
  <c r="C30" i="58"/>
  <c r="G29" i="58"/>
  <c r="G28" i="58"/>
  <c r="G27" i="58"/>
  <c r="G26" i="58"/>
  <c r="E22" i="58"/>
  <c r="D22" i="58"/>
  <c r="C22" i="58"/>
  <c r="G21" i="58"/>
  <c r="G20" i="58"/>
  <c r="G19" i="58"/>
  <c r="D15" i="58"/>
  <c r="C15" i="58"/>
  <c r="G14" i="58"/>
  <c r="G13" i="58"/>
  <c r="G12" i="58"/>
  <c r="G11" i="58"/>
  <c r="F35" i="58" l="1"/>
  <c r="G7" i="58"/>
  <c r="F34" i="58"/>
  <c r="F36" i="59"/>
  <c r="G30" i="58"/>
  <c r="G22" i="58"/>
  <c r="G15" i="58"/>
  <c r="F33" i="58"/>
  <c r="F36" i="58" s="1"/>
  <c r="E7" i="57"/>
  <c r="D7" i="57"/>
  <c r="C7" i="57"/>
  <c r="G6" i="57"/>
  <c r="G5" i="57"/>
  <c r="G4" i="57"/>
  <c r="G3" i="57"/>
  <c r="G7" i="57" l="1"/>
  <c r="E30" i="57"/>
  <c r="D30" i="57"/>
  <c r="C30" i="57"/>
  <c r="G29" i="57"/>
  <c r="F35" i="57" s="1"/>
  <c r="G28" i="57"/>
  <c r="G27" i="57"/>
  <c r="F34" i="57" s="1"/>
  <c r="G26" i="57"/>
  <c r="F33" i="57" s="1"/>
  <c r="E22" i="57"/>
  <c r="D22" i="57"/>
  <c r="C22" i="57"/>
  <c r="G21" i="57"/>
  <c r="G20" i="57"/>
  <c r="G19" i="57"/>
  <c r="D15" i="57"/>
  <c r="C15" i="57"/>
  <c r="G14" i="57"/>
  <c r="G13" i="57"/>
  <c r="G12" i="57"/>
  <c r="G11" i="57"/>
  <c r="F36" i="57" l="1"/>
  <c r="G22" i="57"/>
  <c r="G15" i="57"/>
  <c r="G30" i="57"/>
  <c r="E7" i="56"/>
  <c r="D7" i="56"/>
  <c r="C7" i="56"/>
  <c r="G6" i="56"/>
  <c r="G5" i="56"/>
  <c r="G4" i="56"/>
  <c r="G3" i="56"/>
  <c r="E30" i="56"/>
  <c r="D30" i="56"/>
  <c r="C30" i="56"/>
  <c r="G29" i="56"/>
  <c r="G28" i="56"/>
  <c r="G27" i="56"/>
  <c r="G26" i="56"/>
  <c r="E22" i="56"/>
  <c r="D22" i="56"/>
  <c r="C22" i="56"/>
  <c r="G21" i="56"/>
  <c r="G20" i="56"/>
  <c r="G19" i="56"/>
  <c r="D15" i="56"/>
  <c r="C15" i="56"/>
  <c r="G14" i="56"/>
  <c r="G13" i="56"/>
  <c r="G12" i="56"/>
  <c r="G11" i="56"/>
  <c r="G7" i="56" l="1"/>
  <c r="G15" i="56"/>
  <c r="G22" i="56"/>
  <c r="F35" i="56"/>
  <c r="G30" i="56"/>
  <c r="F34" i="56"/>
  <c r="F33" i="56"/>
  <c r="F36" i="56" l="1"/>
  <c r="E7" i="55"/>
  <c r="D7" i="55"/>
  <c r="C7" i="55"/>
  <c r="G6" i="55"/>
  <c r="G5" i="55"/>
  <c r="G4" i="55"/>
  <c r="G3" i="55"/>
  <c r="G7" i="55" s="1"/>
  <c r="E30" i="55"/>
  <c r="D30" i="55"/>
  <c r="C30" i="55"/>
  <c r="G29" i="55"/>
  <c r="G28" i="55"/>
  <c r="G27" i="55"/>
  <c r="G26" i="55"/>
  <c r="E22" i="55"/>
  <c r="D22" i="55"/>
  <c r="C22" i="55"/>
  <c r="G21" i="55"/>
  <c r="G20" i="55"/>
  <c r="G19" i="55"/>
  <c r="D15" i="55"/>
  <c r="C15" i="55"/>
  <c r="G14" i="55"/>
  <c r="G13" i="55"/>
  <c r="G12" i="55"/>
  <c r="G11" i="55"/>
  <c r="F35" i="55"/>
  <c r="G15" i="55" l="1"/>
  <c r="G30" i="55"/>
  <c r="G22" i="55"/>
  <c r="F34" i="55"/>
  <c r="F33" i="55"/>
  <c r="E7" i="54"/>
  <c r="D7" i="54"/>
  <c r="C7" i="54"/>
  <c r="G6" i="54"/>
  <c r="G5" i="54"/>
  <c r="G4" i="54"/>
  <c r="G3" i="54"/>
  <c r="E30" i="54"/>
  <c r="D30" i="54"/>
  <c r="C30" i="54"/>
  <c r="G29" i="54"/>
  <c r="G28" i="54"/>
  <c r="G27" i="54"/>
  <c r="G26" i="54"/>
  <c r="E22" i="54"/>
  <c r="D22" i="54"/>
  <c r="C22" i="54"/>
  <c r="G21" i="54"/>
  <c r="G20" i="54"/>
  <c r="G19" i="54"/>
  <c r="D15" i="54"/>
  <c r="C15" i="54"/>
  <c r="G14" i="54"/>
  <c r="G13" i="54"/>
  <c r="G12" i="54"/>
  <c r="G11" i="54"/>
  <c r="E30" i="51"/>
  <c r="D30" i="51"/>
  <c r="C30" i="51"/>
  <c r="G29" i="51"/>
  <c r="G28" i="51"/>
  <c r="G27" i="51"/>
  <c r="G26" i="51"/>
  <c r="G30" i="51" s="1"/>
  <c r="E22" i="51"/>
  <c r="D22" i="51"/>
  <c r="C22" i="51"/>
  <c r="G21" i="51"/>
  <c r="G20" i="51"/>
  <c r="G19" i="51"/>
  <c r="D15" i="51"/>
  <c r="C15" i="51"/>
  <c r="G14" i="51"/>
  <c r="G13" i="51"/>
  <c r="G12" i="51"/>
  <c r="G11" i="51"/>
  <c r="E7" i="51"/>
  <c r="D7" i="51"/>
  <c r="C7" i="51"/>
  <c r="G6" i="51"/>
  <c r="F35" i="51" s="1"/>
  <c r="G5" i="51"/>
  <c r="G4" i="51"/>
  <c r="G3" i="51"/>
  <c r="E30" i="52"/>
  <c r="D30" i="52"/>
  <c r="C30" i="52"/>
  <c r="G29" i="52"/>
  <c r="G28" i="52"/>
  <c r="G27" i="52"/>
  <c r="G26" i="52"/>
  <c r="E22" i="52"/>
  <c r="D22" i="52"/>
  <c r="C22" i="52"/>
  <c r="G21" i="52"/>
  <c r="G20" i="52"/>
  <c r="G19" i="52"/>
  <c r="G22" i="52" s="1"/>
  <c r="D15" i="52"/>
  <c r="C15" i="52"/>
  <c r="G14" i="52"/>
  <c r="G13" i="52"/>
  <c r="G12" i="52"/>
  <c r="G11" i="52"/>
  <c r="E7" i="52"/>
  <c r="D7" i="52"/>
  <c r="C7" i="52"/>
  <c r="G6" i="52"/>
  <c r="G5" i="52"/>
  <c r="G4" i="52"/>
  <c r="G3" i="52"/>
  <c r="F34" i="51" l="1"/>
  <c r="G15" i="54"/>
  <c r="G15" i="51"/>
  <c r="G22" i="51"/>
  <c r="F34" i="54"/>
  <c r="G7" i="54"/>
  <c r="F34" i="52"/>
  <c r="G7" i="51"/>
  <c r="F35" i="54"/>
  <c r="F36" i="55"/>
  <c r="G30" i="54"/>
  <c r="G22" i="54"/>
  <c r="F33" i="54"/>
  <c r="F36" i="54" s="1"/>
  <c r="F35" i="52"/>
  <c r="G7" i="52"/>
  <c r="G15" i="52"/>
  <c r="G30" i="52"/>
  <c r="F33" i="51"/>
  <c r="F36" i="51" s="1"/>
  <c r="F33" i="52"/>
  <c r="F36" i="52" l="1"/>
  <c r="E7" i="50" l="1"/>
  <c r="D7" i="50"/>
  <c r="C7" i="50"/>
  <c r="G6" i="50"/>
  <c r="G5" i="50"/>
  <c r="G4" i="50"/>
  <c r="G3" i="50"/>
  <c r="G7" i="50" l="1"/>
  <c r="E30" i="50"/>
  <c r="D30" i="50"/>
  <c r="C30" i="50"/>
  <c r="G29" i="50"/>
  <c r="F35" i="50" s="1"/>
  <c r="G28" i="50"/>
  <c r="G27" i="50"/>
  <c r="F34" i="50" s="1"/>
  <c r="G26" i="50"/>
  <c r="F33" i="50" s="1"/>
  <c r="E22" i="50"/>
  <c r="D22" i="50"/>
  <c r="C22" i="50"/>
  <c r="G21" i="50"/>
  <c r="G20" i="50"/>
  <c r="G19" i="50"/>
  <c r="D15" i="50"/>
  <c r="C15" i="50"/>
  <c r="G14" i="50"/>
  <c r="G13" i="50"/>
  <c r="G12" i="50"/>
  <c r="G11" i="50"/>
  <c r="G15" i="50" l="1"/>
  <c r="G22" i="50"/>
  <c r="F36" i="50"/>
  <c r="G30" i="50"/>
  <c r="E7" i="49" l="1"/>
  <c r="D7" i="49"/>
  <c r="C7" i="49"/>
  <c r="G6" i="49"/>
  <c r="G5" i="49"/>
  <c r="G4" i="49"/>
  <c r="G3" i="49"/>
  <c r="E30" i="49"/>
  <c r="D30" i="49"/>
  <c r="C30" i="49"/>
  <c r="G29" i="49"/>
  <c r="G28" i="49"/>
  <c r="G27" i="49"/>
  <c r="G26" i="49"/>
  <c r="E22" i="49"/>
  <c r="D22" i="49"/>
  <c r="C22" i="49"/>
  <c r="G21" i="49"/>
  <c r="G20" i="49"/>
  <c r="G19" i="49"/>
  <c r="D15" i="49"/>
  <c r="C15" i="49"/>
  <c r="G14" i="49"/>
  <c r="G13" i="49"/>
  <c r="G12" i="49"/>
  <c r="G11" i="49"/>
  <c r="F34" i="49" l="1"/>
  <c r="F35" i="49"/>
  <c r="F33" i="49"/>
  <c r="G7" i="49"/>
  <c r="G30" i="49"/>
  <c r="G15" i="49"/>
  <c r="G22" i="49"/>
  <c r="C32" i="48"/>
  <c r="E9" i="48"/>
  <c r="D9" i="48"/>
  <c r="C9" i="48"/>
  <c r="G8" i="48"/>
  <c r="G7" i="48"/>
  <c r="G6" i="48"/>
  <c r="G5" i="48"/>
  <c r="E32" i="48"/>
  <c r="D32" i="48"/>
  <c r="G31" i="48"/>
  <c r="G30" i="48"/>
  <c r="G29" i="48"/>
  <c r="G28" i="48"/>
  <c r="E24" i="48"/>
  <c r="D24" i="48"/>
  <c r="C24" i="48"/>
  <c r="G23" i="48"/>
  <c r="G22" i="48"/>
  <c r="G21" i="48"/>
  <c r="D17" i="48"/>
  <c r="C17" i="48"/>
  <c r="G16" i="48"/>
  <c r="G15" i="48"/>
  <c r="G14" i="48"/>
  <c r="G13" i="48"/>
  <c r="F37" i="48"/>
  <c r="G17" i="48" l="1"/>
  <c r="F36" i="49"/>
  <c r="G24" i="48"/>
  <c r="G9" i="48"/>
  <c r="G32" i="48"/>
  <c r="F36" i="48"/>
  <c r="F35" i="48"/>
  <c r="F38" i="48" s="1"/>
  <c r="E9" i="47" l="1"/>
  <c r="D9" i="47"/>
  <c r="C9" i="47"/>
  <c r="G8" i="47"/>
  <c r="G7" i="47"/>
  <c r="G6" i="47"/>
  <c r="G5" i="47"/>
  <c r="E32" i="47"/>
  <c r="D32" i="47"/>
  <c r="C32" i="47"/>
  <c r="G31" i="47"/>
  <c r="G30" i="47"/>
  <c r="G29" i="47"/>
  <c r="G28" i="47"/>
  <c r="E24" i="47"/>
  <c r="D24" i="47"/>
  <c r="C24" i="47"/>
  <c r="G23" i="47"/>
  <c r="G22" i="47"/>
  <c r="G21" i="47"/>
  <c r="D17" i="47"/>
  <c r="C17" i="47"/>
  <c r="G16" i="47"/>
  <c r="G15" i="47"/>
  <c r="G17" i="47" s="1"/>
  <c r="G14" i="47"/>
  <c r="G13" i="47"/>
  <c r="F37" i="47" l="1"/>
  <c r="G9" i="47"/>
  <c r="G32" i="47"/>
  <c r="G24" i="47"/>
  <c r="F36" i="47"/>
  <c r="F35" i="47"/>
  <c r="E9" i="46"/>
  <c r="D9" i="46"/>
  <c r="C9" i="46"/>
  <c r="G8" i="46"/>
  <c r="G7" i="46"/>
  <c r="G6" i="46"/>
  <c r="G5" i="46"/>
  <c r="G9" i="46" l="1"/>
  <c r="F38" i="47"/>
  <c r="E32" i="46"/>
  <c r="D32" i="46"/>
  <c r="C32" i="46"/>
  <c r="G31" i="46"/>
  <c r="F37" i="46" s="1"/>
  <c r="G30" i="46"/>
  <c r="G29" i="46"/>
  <c r="F36" i="46" s="1"/>
  <c r="G28" i="46"/>
  <c r="E24" i="46"/>
  <c r="D24" i="46"/>
  <c r="C24" i="46"/>
  <c r="G23" i="46"/>
  <c r="G22" i="46"/>
  <c r="G21" i="46"/>
  <c r="D17" i="46"/>
  <c r="C17" i="46"/>
  <c r="G16" i="46"/>
  <c r="G15" i="46"/>
  <c r="G14" i="46"/>
  <c r="G13" i="46"/>
  <c r="G32" i="46" l="1"/>
  <c r="G17" i="46"/>
  <c r="G24" i="46"/>
  <c r="F35" i="46"/>
  <c r="F38" i="46" s="1"/>
  <c r="C24" i="45"/>
  <c r="E9" i="45"/>
  <c r="D9" i="45"/>
  <c r="C9" i="45"/>
  <c r="G8" i="45"/>
  <c r="G7" i="45"/>
  <c r="G6" i="45"/>
  <c r="G5" i="45"/>
  <c r="E32" i="45"/>
  <c r="D32" i="45"/>
  <c r="C32" i="45"/>
  <c r="G31" i="45"/>
  <c r="G30" i="45"/>
  <c r="G29" i="45"/>
  <c r="G28" i="45"/>
  <c r="E24" i="45"/>
  <c r="D24" i="45"/>
  <c r="G23" i="45"/>
  <c r="G22" i="45"/>
  <c r="G21" i="45"/>
  <c r="D17" i="45"/>
  <c r="C17" i="45"/>
  <c r="G16" i="45"/>
  <c r="G15" i="45"/>
  <c r="G14" i="45"/>
  <c r="G13" i="45"/>
  <c r="F35" i="45" l="1"/>
  <c r="G9" i="45"/>
  <c r="F36" i="45"/>
  <c r="F37" i="45"/>
  <c r="G32" i="45"/>
  <c r="G17" i="45"/>
  <c r="G24" i="45"/>
  <c r="F38" i="45"/>
  <c r="E9" i="43"/>
  <c r="D9" i="43"/>
  <c r="C9" i="43"/>
  <c r="G8" i="43"/>
  <c r="G7" i="43"/>
  <c r="G6" i="43"/>
  <c r="G5" i="43"/>
  <c r="E32" i="43"/>
  <c r="D32" i="43"/>
  <c r="C32" i="43"/>
  <c r="G31" i="43"/>
  <c r="G30" i="43"/>
  <c r="G29" i="43"/>
  <c r="G28" i="43"/>
  <c r="F24" i="43"/>
  <c r="E24" i="43"/>
  <c r="D24" i="43"/>
  <c r="C24" i="43"/>
  <c r="G23" i="43"/>
  <c r="G22" i="43"/>
  <c r="G21" i="43"/>
  <c r="D17" i="43"/>
  <c r="C17" i="43"/>
  <c r="G16" i="43"/>
  <c r="G15" i="43"/>
  <c r="G14" i="43"/>
  <c r="G13" i="43"/>
  <c r="G24" i="43" l="1"/>
  <c r="F37" i="43"/>
  <c r="G9" i="43"/>
  <c r="G17" i="43"/>
  <c r="F35" i="43"/>
  <c r="F36" i="43"/>
  <c r="G32" i="43"/>
  <c r="G21" i="40"/>
  <c r="E8" i="40"/>
  <c r="D8" i="40"/>
  <c r="C8" i="40"/>
  <c r="G7" i="40"/>
  <c r="G6" i="40"/>
  <c r="G5" i="40"/>
  <c r="F35" i="40" s="1"/>
  <c r="G4" i="40"/>
  <c r="E31" i="40"/>
  <c r="D31" i="40"/>
  <c r="C31" i="40"/>
  <c r="G30" i="40"/>
  <c r="F36" i="40" s="1"/>
  <c r="G29" i="40"/>
  <c r="G28" i="40"/>
  <c r="G27" i="40"/>
  <c r="F23" i="40"/>
  <c r="E23" i="40"/>
  <c r="D23" i="40"/>
  <c r="C23" i="40"/>
  <c r="G22" i="40"/>
  <c r="G20" i="40"/>
  <c r="D16" i="40"/>
  <c r="C16" i="40"/>
  <c r="G15" i="40"/>
  <c r="G14" i="40"/>
  <c r="G13" i="40"/>
  <c r="G12" i="40"/>
  <c r="F34" i="40" l="1"/>
  <c r="F37" i="40" s="1"/>
  <c r="G16" i="40"/>
  <c r="F38" i="43"/>
  <c r="G8" i="40"/>
  <c r="G23" i="40"/>
  <c r="G31" i="40"/>
  <c r="F23" i="25"/>
  <c r="E8" i="25"/>
  <c r="D8" i="25"/>
  <c r="C8" i="25"/>
  <c r="G7" i="25"/>
  <c r="G6" i="25"/>
  <c r="G5" i="25"/>
  <c r="G4" i="25"/>
  <c r="E31" i="25"/>
  <c r="D31" i="25"/>
  <c r="C31" i="25"/>
  <c r="G30" i="25"/>
  <c r="G29" i="25"/>
  <c r="G28" i="25"/>
  <c r="G27" i="25"/>
  <c r="E23" i="25"/>
  <c r="D23" i="25"/>
  <c r="C23" i="25"/>
  <c r="G22" i="25"/>
  <c r="G21" i="25"/>
  <c r="G20" i="25"/>
  <c r="D16" i="25"/>
  <c r="C16" i="25"/>
  <c r="G15" i="25"/>
  <c r="G14" i="25"/>
  <c r="G13" i="25"/>
  <c r="G12" i="25"/>
  <c r="F36" i="25" l="1"/>
  <c r="G8" i="25"/>
  <c r="F34" i="25"/>
  <c r="F35" i="25"/>
  <c r="G31" i="25"/>
  <c r="G23" i="25"/>
  <c r="G16" i="25"/>
  <c r="F37" i="25" l="1"/>
  <c r="E8" i="24"/>
  <c r="D8" i="24"/>
  <c r="C8" i="24"/>
  <c r="G7" i="24"/>
  <c r="G6" i="24"/>
  <c r="G5" i="24"/>
  <c r="G4" i="24"/>
  <c r="E31" i="24"/>
  <c r="D31" i="24"/>
  <c r="C31" i="24"/>
  <c r="G30" i="24"/>
  <c r="G29" i="24"/>
  <c r="G28" i="24"/>
  <c r="G27" i="24"/>
  <c r="F23" i="24"/>
  <c r="E23" i="24"/>
  <c r="D23" i="24"/>
  <c r="C23" i="24"/>
  <c r="G22" i="24"/>
  <c r="G21" i="24"/>
  <c r="G20" i="24"/>
  <c r="D16" i="24"/>
  <c r="C16" i="24"/>
  <c r="G15" i="24"/>
  <c r="G14" i="24"/>
  <c r="G13" i="24"/>
  <c r="G12" i="24"/>
  <c r="G8" i="24" l="1"/>
  <c r="G23" i="24"/>
  <c r="G16" i="24"/>
  <c r="F36" i="24"/>
  <c r="F34" i="24"/>
  <c r="F35" i="24"/>
  <c r="G31" i="24"/>
  <c r="F37" i="24" l="1"/>
  <c r="E8" i="23"/>
  <c r="D8" i="23"/>
  <c r="C8" i="23"/>
  <c r="G7" i="23"/>
  <c r="G6" i="23"/>
  <c r="G5" i="23"/>
  <c r="G4" i="23"/>
  <c r="G27" i="23"/>
  <c r="G28" i="23"/>
  <c r="G29" i="23"/>
  <c r="G30" i="23"/>
  <c r="C31" i="23"/>
  <c r="D31" i="23"/>
  <c r="E31" i="23"/>
  <c r="F23" i="23"/>
  <c r="E23" i="23"/>
  <c r="D23" i="23"/>
  <c r="C23" i="23"/>
  <c r="G22" i="23"/>
  <c r="G21" i="23"/>
  <c r="G20" i="23"/>
  <c r="D16" i="23"/>
  <c r="C16" i="23"/>
  <c r="G15" i="23"/>
  <c r="G14" i="23"/>
  <c r="G13" i="23"/>
  <c r="G12" i="23"/>
  <c r="F35" i="23" l="1"/>
  <c r="G8" i="23"/>
  <c r="G31" i="23"/>
  <c r="F34" i="23"/>
  <c r="G23" i="23"/>
  <c r="G16" i="23"/>
  <c r="F36" i="23"/>
  <c r="F37" i="23" l="1"/>
  <c r="E8" i="22"/>
  <c r="D8" i="22"/>
  <c r="C8" i="22"/>
  <c r="G7" i="22"/>
  <c r="G6" i="22"/>
  <c r="G5" i="22"/>
  <c r="G4" i="22"/>
  <c r="G8" i="22" s="1"/>
  <c r="E31" i="22"/>
  <c r="D31" i="22"/>
  <c r="C31" i="22"/>
  <c r="G30" i="22"/>
  <c r="G29" i="22"/>
  <c r="G28" i="22"/>
  <c r="F35" i="22" s="1"/>
  <c r="G27" i="22"/>
  <c r="F23" i="22"/>
  <c r="E23" i="22"/>
  <c r="D23" i="22"/>
  <c r="C23" i="22"/>
  <c r="G22" i="22"/>
  <c r="G21" i="22"/>
  <c r="G20" i="22"/>
  <c r="D16" i="22"/>
  <c r="C16" i="22"/>
  <c r="G15" i="22"/>
  <c r="G14" i="22"/>
  <c r="G13" i="22"/>
  <c r="G12" i="22"/>
  <c r="F36" i="22" l="1"/>
  <c r="G31" i="22"/>
  <c r="G16" i="22"/>
  <c r="G23" i="22"/>
  <c r="F34" i="22"/>
  <c r="F37" i="22" s="1"/>
  <c r="G29" i="21"/>
  <c r="G14" i="21"/>
  <c r="E31" i="21"/>
  <c r="D31" i="21"/>
  <c r="C31" i="21"/>
  <c r="G30" i="21"/>
  <c r="F36" i="21" s="1"/>
  <c r="G28" i="21"/>
  <c r="F35" i="21" s="1"/>
  <c r="G27" i="21"/>
  <c r="F23" i="21"/>
  <c r="E23" i="21"/>
  <c r="D23" i="21"/>
  <c r="C23" i="21"/>
  <c r="G22" i="21"/>
  <c r="G21" i="21"/>
  <c r="G20" i="21"/>
  <c r="D16" i="21"/>
  <c r="C16" i="21"/>
  <c r="G15" i="21"/>
  <c r="G13" i="21"/>
  <c r="G12" i="21"/>
  <c r="G23" i="21" l="1"/>
  <c r="G16" i="21"/>
  <c r="G31" i="21"/>
  <c r="F34" i="21"/>
  <c r="F37" i="21" s="1"/>
  <c r="G28" i="20"/>
  <c r="G27" i="20"/>
  <c r="G26" i="20"/>
  <c r="G7" i="20"/>
  <c r="G6" i="20"/>
  <c r="G5" i="20"/>
  <c r="E29" i="20"/>
  <c r="D29" i="20"/>
  <c r="C29" i="20"/>
  <c r="F22" i="20"/>
  <c r="E22" i="20"/>
  <c r="D22" i="20"/>
  <c r="C22" i="20"/>
  <c r="G21" i="20"/>
  <c r="G20" i="20"/>
  <c r="G19" i="20"/>
  <c r="D15" i="20"/>
  <c r="C15" i="20"/>
  <c r="G14" i="20"/>
  <c r="G13" i="20"/>
  <c r="G12" i="20"/>
  <c r="E8" i="20"/>
  <c r="D8" i="20"/>
  <c r="C8" i="20"/>
  <c r="G8" i="20" l="1"/>
  <c r="F34" i="20"/>
  <c r="G22" i="20"/>
  <c r="G29" i="20"/>
  <c r="F33" i="20"/>
  <c r="G15" i="20"/>
  <c r="F32" i="20"/>
  <c r="F35" i="20" s="1"/>
  <c r="E8" i="19"/>
  <c r="D8" i="19"/>
  <c r="C8" i="19"/>
  <c r="E29" i="19"/>
  <c r="D29" i="19"/>
  <c r="C29" i="19"/>
  <c r="G28" i="19"/>
  <c r="G27" i="19"/>
  <c r="G26" i="19"/>
  <c r="F22" i="19"/>
  <c r="E22" i="19"/>
  <c r="D22" i="19"/>
  <c r="C22" i="19"/>
  <c r="G21" i="19"/>
  <c r="G20" i="19"/>
  <c r="G19" i="19"/>
  <c r="D15" i="19"/>
  <c r="C15" i="19"/>
  <c r="G14" i="19"/>
  <c r="G13" i="19"/>
  <c r="G12" i="19"/>
  <c r="G7" i="19"/>
  <c r="G6" i="19"/>
  <c r="G5" i="19"/>
  <c r="F33" i="19" l="1"/>
  <c r="F34" i="19"/>
  <c r="G22" i="19"/>
  <c r="G15" i="19"/>
  <c r="F32" i="19"/>
  <c r="F35" i="19" s="1"/>
  <c r="G8" i="19"/>
  <c r="G29" i="19"/>
  <c r="E8" i="18" l="1"/>
  <c r="D8" i="18"/>
  <c r="C8" i="18"/>
  <c r="G7" i="18"/>
  <c r="G6" i="18"/>
  <c r="G5" i="18"/>
  <c r="E29" i="18"/>
  <c r="D29" i="18"/>
  <c r="C29" i="18"/>
  <c r="G28" i="18"/>
  <c r="G27" i="18"/>
  <c r="G26" i="18"/>
  <c r="F22" i="18"/>
  <c r="E22" i="18"/>
  <c r="D22" i="18"/>
  <c r="C22" i="18"/>
  <c r="G21" i="18"/>
  <c r="G20" i="18"/>
  <c r="G19" i="18"/>
  <c r="D15" i="18"/>
  <c r="C15" i="18"/>
  <c r="G14" i="18"/>
  <c r="G13" i="18"/>
  <c r="G12" i="18"/>
  <c r="F33" i="18" l="1"/>
  <c r="F34" i="18"/>
  <c r="G8" i="18"/>
  <c r="G15" i="18"/>
  <c r="G22" i="18"/>
  <c r="F32" i="18"/>
  <c r="G29" i="18"/>
  <c r="F35" i="18" l="1"/>
  <c r="E8" i="16"/>
  <c r="D8" i="16"/>
  <c r="C8" i="16"/>
  <c r="G7" i="16"/>
  <c r="G6" i="16"/>
  <c r="G5" i="16"/>
  <c r="E29" i="16"/>
  <c r="D29" i="16"/>
  <c r="C29" i="16"/>
  <c r="G28" i="16"/>
  <c r="G27" i="16"/>
  <c r="G26" i="16"/>
  <c r="F22" i="16"/>
  <c r="E22" i="16"/>
  <c r="D22" i="16"/>
  <c r="C22" i="16"/>
  <c r="G21" i="16"/>
  <c r="G20" i="16"/>
  <c r="G19" i="16"/>
  <c r="D15" i="16"/>
  <c r="C15" i="16"/>
  <c r="G14" i="16"/>
  <c r="G13" i="16"/>
  <c r="G12" i="16"/>
  <c r="G15" i="16" s="1"/>
  <c r="G29" i="16" l="1"/>
  <c r="F33" i="16"/>
  <c r="F34" i="16"/>
  <c r="G8" i="16"/>
  <c r="G22" i="16"/>
  <c r="F32" i="16"/>
  <c r="E8" i="15"/>
  <c r="G28" i="15"/>
  <c r="E29" i="15"/>
  <c r="D29" i="15"/>
  <c r="C29" i="15"/>
  <c r="D8" i="15"/>
  <c r="C8" i="15"/>
  <c r="G7" i="15"/>
  <c r="G6" i="15"/>
  <c r="G5" i="15"/>
  <c r="G27" i="15"/>
  <c r="G26" i="15"/>
  <c r="F22" i="15"/>
  <c r="E22" i="15"/>
  <c r="D22" i="15"/>
  <c r="C22" i="15"/>
  <c r="G21" i="15"/>
  <c r="G20" i="15"/>
  <c r="G19" i="15"/>
  <c r="D15" i="15"/>
  <c r="C15" i="15"/>
  <c r="G14" i="15"/>
  <c r="G13" i="15"/>
  <c r="G12" i="15"/>
  <c r="F35" i="16" l="1"/>
  <c r="F32" i="15"/>
  <c r="G29" i="15"/>
  <c r="F33" i="15"/>
  <c r="G8" i="15"/>
  <c r="F34" i="15"/>
  <c r="F35" i="15" s="1"/>
  <c r="G22" i="15"/>
  <c r="G15" i="15"/>
  <c r="C29" i="14"/>
  <c r="D8" i="14"/>
  <c r="C8" i="14"/>
  <c r="G7" i="14"/>
  <c r="G6" i="14"/>
  <c r="G5" i="14"/>
  <c r="D29" i="14"/>
  <c r="G28" i="14"/>
  <c r="F34" i="14" s="1"/>
  <c r="G27" i="14"/>
  <c r="G26" i="14"/>
  <c r="F22" i="14"/>
  <c r="E22" i="14"/>
  <c r="D22" i="14"/>
  <c r="C22" i="14"/>
  <c r="G21" i="14"/>
  <c r="G20" i="14"/>
  <c r="G19" i="14"/>
  <c r="D15" i="14"/>
  <c r="C15" i="14"/>
  <c r="G14" i="14"/>
  <c r="G13" i="14"/>
  <c r="G12" i="14"/>
  <c r="G15" i="14" l="1"/>
  <c r="F32" i="14"/>
  <c r="G22" i="14"/>
  <c r="G8" i="14"/>
  <c r="F33" i="14"/>
  <c r="G29" i="14"/>
  <c r="F35" i="14" l="1"/>
  <c r="D8" i="13"/>
  <c r="C8" i="13"/>
  <c r="G7" i="13"/>
  <c r="G6" i="13"/>
  <c r="G5" i="13"/>
  <c r="D29" i="13"/>
  <c r="C29" i="13"/>
  <c r="G28" i="13"/>
  <c r="G27" i="13"/>
  <c r="F33" i="13" s="1"/>
  <c r="G26" i="13"/>
  <c r="F22" i="13"/>
  <c r="E22" i="13"/>
  <c r="D22" i="13"/>
  <c r="C22" i="13"/>
  <c r="G21" i="13"/>
  <c r="G20" i="13"/>
  <c r="G19" i="13"/>
  <c r="D15" i="13"/>
  <c r="C15" i="13"/>
  <c r="G14" i="13"/>
  <c r="G13" i="13"/>
  <c r="G12" i="13"/>
  <c r="G29" i="13" l="1"/>
  <c r="G8" i="13"/>
  <c r="G15" i="13"/>
  <c r="G22" i="13"/>
  <c r="F34" i="13"/>
  <c r="F32" i="13"/>
  <c r="F35" i="13" l="1"/>
  <c r="G19" i="12"/>
  <c r="D8" i="12"/>
  <c r="C8" i="12"/>
  <c r="G7" i="12"/>
  <c r="G6" i="12"/>
  <c r="G5" i="12"/>
  <c r="D29" i="12"/>
  <c r="C29" i="12"/>
  <c r="G28" i="12"/>
  <c r="G27" i="12"/>
  <c r="G26" i="12"/>
  <c r="F22" i="12"/>
  <c r="E22" i="12"/>
  <c r="D22" i="12"/>
  <c r="C22" i="12"/>
  <c r="G21" i="12"/>
  <c r="G20" i="12"/>
  <c r="D15" i="12"/>
  <c r="C15" i="12"/>
  <c r="G14" i="12"/>
  <c r="G13" i="12"/>
  <c r="G12" i="12"/>
  <c r="G8" i="12" l="1"/>
  <c r="F33" i="12"/>
  <c r="F34" i="12"/>
  <c r="G29" i="12"/>
  <c r="G22" i="12"/>
  <c r="G15" i="12"/>
  <c r="F32" i="12"/>
  <c r="F35" i="12" s="1"/>
  <c r="G21" i="11" l="1"/>
  <c r="D8" i="11"/>
  <c r="C8" i="11"/>
  <c r="G7" i="11"/>
  <c r="G6" i="11"/>
  <c r="G5" i="11"/>
  <c r="D29" i="11"/>
  <c r="C29" i="11"/>
  <c r="G28" i="11"/>
  <c r="G27" i="11"/>
  <c r="G26" i="11"/>
  <c r="F22" i="11"/>
  <c r="E22" i="11"/>
  <c r="D22" i="11"/>
  <c r="C22" i="11"/>
  <c r="G20" i="11"/>
  <c r="G19" i="11"/>
  <c r="D15" i="11"/>
  <c r="C15" i="11"/>
  <c r="G14" i="11"/>
  <c r="G13" i="11"/>
  <c r="G12" i="11"/>
  <c r="F33" i="11" l="1"/>
  <c r="F32" i="11"/>
  <c r="G15" i="11"/>
  <c r="G8" i="11"/>
  <c r="G22" i="11"/>
  <c r="F34" i="11"/>
  <c r="F35" i="11" s="1"/>
  <c r="G29" i="11"/>
  <c r="C7" i="10" l="1"/>
  <c r="B7" i="10"/>
  <c r="F6" i="10"/>
  <c r="F5" i="10"/>
  <c r="F4" i="10"/>
  <c r="C28" i="10"/>
  <c r="B28" i="10"/>
  <c r="F27" i="10"/>
  <c r="F26" i="10"/>
  <c r="F25" i="10"/>
  <c r="E21" i="10"/>
  <c r="D21" i="10"/>
  <c r="C21" i="10"/>
  <c r="B21" i="10"/>
  <c r="F20" i="10"/>
  <c r="F19" i="10"/>
  <c r="F18" i="10"/>
  <c r="C14" i="10"/>
  <c r="B14" i="10"/>
  <c r="F13" i="10"/>
  <c r="F12" i="10"/>
  <c r="F11" i="10"/>
  <c r="F28" i="10" l="1"/>
  <c r="E32" i="10"/>
  <c r="F7" i="10"/>
  <c r="E31" i="10"/>
  <c r="F14" i="10"/>
  <c r="F21" i="10"/>
  <c r="E33" i="10"/>
  <c r="E34" i="10" l="1"/>
  <c r="C7" i="8"/>
  <c r="B7" i="8"/>
  <c r="F6" i="8"/>
  <c r="F5" i="8"/>
  <c r="F4" i="8"/>
  <c r="C28" i="8"/>
  <c r="B28" i="8"/>
  <c r="F27" i="8"/>
  <c r="F26" i="8"/>
  <c r="F25" i="8"/>
  <c r="E31" i="8" s="1"/>
  <c r="E21" i="8"/>
  <c r="D21" i="8"/>
  <c r="C21" i="8"/>
  <c r="B21" i="8"/>
  <c r="F20" i="8"/>
  <c r="F19" i="8"/>
  <c r="F18" i="8"/>
  <c r="C14" i="8"/>
  <c r="B14" i="8"/>
  <c r="F13" i="8"/>
  <c r="F12" i="8"/>
  <c r="F11" i="8"/>
  <c r="E32" i="8" l="1"/>
  <c r="F7" i="8"/>
  <c r="F21" i="8"/>
  <c r="F14" i="8"/>
  <c r="E33" i="8"/>
  <c r="F28" i="8"/>
  <c r="E34" i="8" l="1"/>
  <c r="E21" i="7"/>
  <c r="B21" i="7"/>
  <c r="C28" i="7"/>
  <c r="B28" i="7"/>
  <c r="F27" i="7"/>
  <c r="E33" i="7" s="1"/>
  <c r="F26" i="7"/>
  <c r="E32" i="7" s="1"/>
  <c r="F25" i="7"/>
  <c r="D21" i="7"/>
  <c r="C21" i="7"/>
  <c r="F20" i="7"/>
  <c r="F19" i="7"/>
  <c r="F18" i="7"/>
  <c r="C14" i="7"/>
  <c r="B14" i="7"/>
  <c r="F13" i="7"/>
  <c r="F12" i="7"/>
  <c r="F11" i="7"/>
  <c r="F14" i="7" l="1"/>
  <c r="F21" i="7"/>
  <c r="F28" i="7"/>
  <c r="E31" i="7"/>
  <c r="E34" i="7" s="1"/>
  <c r="C28" i="6" l="1"/>
  <c r="B28" i="6"/>
  <c r="F27" i="6"/>
  <c r="F26" i="6"/>
  <c r="E32" i="6" s="1"/>
  <c r="F25" i="6"/>
  <c r="E31" i="6" s="1"/>
  <c r="E21" i="6"/>
  <c r="D21" i="6"/>
  <c r="C21" i="6"/>
  <c r="B21" i="6"/>
  <c r="F20" i="6"/>
  <c r="F19" i="6"/>
  <c r="F18" i="6"/>
  <c r="C14" i="6"/>
  <c r="B14" i="6"/>
  <c r="F13" i="6"/>
  <c r="F12" i="6"/>
  <c r="F11" i="6"/>
  <c r="F14" i="6" l="1"/>
  <c r="F21" i="6"/>
  <c r="E33" i="6"/>
  <c r="E34" i="6" s="1"/>
  <c r="F28" i="6"/>
  <c r="F26" i="5" l="1"/>
  <c r="F5" i="5"/>
  <c r="F6" i="5"/>
  <c r="F4" i="5"/>
  <c r="B7" i="5"/>
  <c r="C7" i="5"/>
  <c r="F27" i="5"/>
  <c r="F25" i="5"/>
  <c r="B28" i="5"/>
  <c r="C28" i="5"/>
  <c r="F28" i="5" l="1"/>
  <c r="F7" i="5"/>
  <c r="E33" i="5"/>
  <c r="E32" i="5"/>
  <c r="E31" i="5"/>
  <c r="E21" i="5"/>
  <c r="D21" i="5"/>
  <c r="C21" i="5"/>
  <c r="B21" i="5"/>
  <c r="F20" i="5"/>
  <c r="F19" i="5"/>
  <c r="F18" i="5"/>
  <c r="C14" i="5"/>
  <c r="B14" i="5"/>
  <c r="F13" i="5"/>
  <c r="F12" i="5"/>
  <c r="F11" i="5"/>
  <c r="E34" i="5" l="1"/>
  <c r="F14" i="5"/>
  <c r="F21" i="5"/>
  <c r="C8" i="4" l="1"/>
  <c r="B8" i="4"/>
  <c r="F7" i="4"/>
  <c r="F6" i="4"/>
  <c r="E33" i="4" s="1"/>
  <c r="F5" i="4"/>
  <c r="E32" i="4"/>
  <c r="E22" i="4"/>
  <c r="D22" i="4"/>
  <c r="C22" i="4"/>
  <c r="B22" i="4"/>
  <c r="F21" i="4"/>
  <c r="F20" i="4"/>
  <c r="F19" i="4"/>
  <c r="C15" i="4"/>
  <c r="B15" i="4"/>
  <c r="F14" i="4"/>
  <c r="F13" i="4"/>
  <c r="F12" i="4"/>
  <c r="F8" i="4" l="1"/>
  <c r="F15" i="4"/>
  <c r="F22" i="4"/>
  <c r="E34" i="4"/>
  <c r="E35" i="4" s="1"/>
  <c r="C29" i="3" l="1"/>
  <c r="B29" i="3"/>
  <c r="F28" i="3"/>
  <c r="F27" i="3"/>
  <c r="F26" i="3"/>
  <c r="E22" i="3"/>
  <c r="D22" i="3"/>
  <c r="C22" i="3"/>
  <c r="B22" i="3"/>
  <c r="F21" i="3"/>
  <c r="F20" i="3"/>
  <c r="F19" i="3"/>
  <c r="C15" i="3"/>
  <c r="B15" i="3"/>
  <c r="F14" i="3"/>
  <c r="F13" i="3"/>
  <c r="F12" i="3"/>
  <c r="C8" i="3"/>
  <c r="B8" i="3"/>
  <c r="F7" i="3"/>
  <c r="F6" i="3"/>
  <c r="F5" i="3"/>
  <c r="F8" i="3" s="1"/>
  <c r="E33" i="3" l="1"/>
  <c r="F22" i="3"/>
  <c r="F15" i="3"/>
  <c r="F29" i="3"/>
  <c r="E32" i="3"/>
  <c r="E34" i="3"/>
  <c r="D29" i="2"/>
  <c r="C29" i="2"/>
  <c r="B29" i="2"/>
  <c r="E28" i="2"/>
  <c r="E27" i="2"/>
  <c r="E26" i="2"/>
  <c r="E29" i="2" s="1"/>
  <c r="D22" i="2"/>
  <c r="C22" i="2"/>
  <c r="B22" i="2"/>
  <c r="E21" i="2"/>
  <c r="E20" i="2"/>
  <c r="E19" i="2"/>
  <c r="D15" i="2"/>
  <c r="C15" i="2"/>
  <c r="B15" i="2"/>
  <c r="E14" i="2"/>
  <c r="E13" i="2"/>
  <c r="E12" i="2"/>
  <c r="C8" i="2"/>
  <c r="B8" i="2"/>
  <c r="E7" i="2"/>
  <c r="E6" i="2"/>
  <c r="E33" i="2" s="1"/>
  <c r="E5" i="2"/>
  <c r="E8" i="2" s="1"/>
  <c r="E34" i="2" l="1"/>
  <c r="E22" i="2"/>
  <c r="E15" i="2"/>
  <c r="E32" i="2"/>
  <c r="E35" i="3"/>
  <c r="E35" i="2" l="1"/>
</calcChain>
</file>

<file path=xl/sharedStrings.xml><?xml version="1.0" encoding="utf-8"?>
<sst xmlns="http://schemas.openxmlformats.org/spreadsheetml/2006/main" count="3336" uniqueCount="345">
  <si>
    <t>Desktop</t>
  </si>
  <si>
    <t>Laptop</t>
  </si>
  <si>
    <t>Docking Station</t>
  </si>
  <si>
    <t>Damages</t>
  </si>
  <si>
    <t>Amount</t>
  </si>
  <si>
    <t>April</t>
  </si>
  <si>
    <t>May</t>
  </si>
  <si>
    <t>June</t>
  </si>
  <si>
    <t>July</t>
  </si>
  <si>
    <t>August</t>
  </si>
  <si>
    <t>September</t>
  </si>
  <si>
    <t>November</t>
  </si>
  <si>
    <t>December</t>
  </si>
  <si>
    <t xml:space="preserve">Description </t>
  </si>
  <si>
    <t>Asset Type</t>
  </si>
  <si>
    <t>Monthly Bill</t>
  </si>
  <si>
    <t>March</t>
  </si>
  <si>
    <t>Property Taxes</t>
  </si>
  <si>
    <t>Early termination</t>
  </si>
  <si>
    <t xml:space="preserve">Mid-Lease Purchases ( BUY) </t>
  </si>
  <si>
    <t xml:space="preserve">Buyouts ( EPUR) </t>
  </si>
  <si>
    <t xml:space="preserve">For planning purposes only </t>
  </si>
  <si>
    <t xml:space="preserve">Recycle Fee </t>
  </si>
  <si>
    <t>Notebook</t>
  </si>
  <si>
    <t xml:space="preserve">Soft Charges </t>
  </si>
  <si>
    <t>Reconciliation</t>
  </si>
  <si>
    <t>Invoice Amount</t>
  </si>
  <si>
    <t>AMOUNT</t>
  </si>
  <si>
    <t>Dashboard Variance</t>
  </si>
  <si>
    <t>Disk Overwrite</t>
  </si>
  <si>
    <t>The following inventory file is provided for planning purposes and represents the physical inventory as of the dates noted.</t>
  </si>
  <si>
    <t>COUNT AS OF APRIL 30, 2015</t>
  </si>
  <si>
    <t>CONT</t>
  </si>
  <si>
    <t>NLSE</t>
  </si>
  <si>
    <t>TOTAL</t>
  </si>
  <si>
    <t>Desktops</t>
  </si>
  <si>
    <t>Docking Stations</t>
  </si>
  <si>
    <t>Notebooks</t>
  </si>
  <si>
    <t>NEW LEASE INCEPTIONS APRIL 30, 2015 THROUGH JUNE 1, 2015</t>
  </si>
  <si>
    <t>TYPE</t>
  </si>
  <si>
    <t>INACTIVE (DELETES) APRIL 30, 2015 THROUGH JUNE 1, 2015</t>
  </si>
  <si>
    <t>CONC</t>
  </si>
  <si>
    <t>EPUR</t>
  </si>
  <si>
    <t>ETRM</t>
  </si>
  <si>
    <t>COUNT AS OF JUNE 1, 2015</t>
  </si>
  <si>
    <t>CHANGE BY PRODUCT APRIL 30, 2015 THROUGH JUNE 1, 2015</t>
  </si>
  <si>
    <t>CONT = Continuation</t>
  </si>
  <si>
    <t>NLSE = Original Lease Term</t>
  </si>
  <si>
    <t>CONC = Conclude</t>
  </si>
  <si>
    <t>EPUR = Early Purchase</t>
  </si>
  <si>
    <t>ETRM = Early Termination</t>
  </si>
  <si>
    <t>October</t>
  </si>
  <si>
    <t>Regular billing</t>
  </si>
  <si>
    <t xml:space="preserve">Docking Stations </t>
  </si>
  <si>
    <t xml:space="preserve">Notebooks </t>
  </si>
  <si>
    <t xml:space="preserve">Total </t>
  </si>
  <si>
    <t>Total</t>
  </si>
  <si>
    <t>Cont</t>
  </si>
  <si>
    <t>BUY</t>
  </si>
  <si>
    <t>COUNT AS OF JULY 1, 2015</t>
  </si>
  <si>
    <t>NEW LEASE INCEPTIONS June 1 2015 THROUGH JUlY 1, 2015</t>
  </si>
  <si>
    <t>INACTIVE (DELETES) June 1, 2015 THROUGH JUlY 1, 2015</t>
  </si>
  <si>
    <t>CHANGE BY PRODUCT June 1, 2015 THROUGH July 1, 2015</t>
  </si>
  <si>
    <t>Grand Total</t>
  </si>
  <si>
    <t>Count as of August 3 2015</t>
  </si>
  <si>
    <t>NEW LEASE INCEPTIONS July 1 2015 THROUGH August 3, 2015</t>
  </si>
  <si>
    <t>INACTIVE (DELETES) July 1, 2015 THROUGH August 3, 2015</t>
  </si>
  <si>
    <t>CHANGE BY PRODUCT July 1, 2015 THROUGH August 3, 2015</t>
  </si>
  <si>
    <t>NEW LEASE INCEPTIONS August 3 2015 THROUGH September 4, 2015</t>
  </si>
  <si>
    <t>INACTIVE (DELETES) August 3, 2015 THROUGH September 4, 2015</t>
  </si>
  <si>
    <t>Count as of September 4 2015</t>
  </si>
  <si>
    <t>CHANGE BY PRODUCT August 3, 2015 THROUGH September 4, 2015</t>
  </si>
  <si>
    <t>NEW LEASE September 2015 THROUGH October 1, 2015</t>
  </si>
  <si>
    <t>INACTIVE (DELETES) September  2015 THROUGH October 1, 2015</t>
  </si>
  <si>
    <t>Count as of October 1 2015</t>
  </si>
  <si>
    <t>NEW LEASE October  2015 THROUGH November 1, 2015</t>
  </si>
  <si>
    <t>INACTIVE (DELETES) October 2015 THROUGH November 1, 2015</t>
  </si>
  <si>
    <t>Count as of November 1 2015</t>
  </si>
  <si>
    <t>CHANGE BY PRODUCT October  2015 THROUGH Novmeber 1, 2015</t>
  </si>
  <si>
    <t>INACTIVE (DELETES) November 2015 THROUGH December 1, 2015</t>
  </si>
  <si>
    <t>Count as of December 1 2015</t>
  </si>
  <si>
    <t>CHANGE BY PRODUCT November 2015 THROUGH December 1, 2015</t>
  </si>
  <si>
    <t>NEW LEASE November 2015 THROUGH December 1, 2015</t>
  </si>
  <si>
    <t xml:space="preserve">January </t>
  </si>
  <si>
    <t>NEW LEASE December 2015 THROUGH Jan 1, 2016</t>
  </si>
  <si>
    <t>INACTIVE (DELETES) December 2015 THROUGH January 1, 2015</t>
  </si>
  <si>
    <t>Count as of January 1 2015</t>
  </si>
  <si>
    <t>Ext</t>
  </si>
  <si>
    <t>Count as of January  1 2016</t>
  </si>
  <si>
    <t>NEW LEASE January 2015 THROUGH Feb 1, 2016</t>
  </si>
  <si>
    <t>Count as of February  1, 2016</t>
  </si>
  <si>
    <t>INACTIVE (DELETES) January  2015 THROUGH February  1, 2016</t>
  </si>
  <si>
    <t>CHANGE BY PRODUCT December 2015 THROUGH January 1, 2016</t>
  </si>
  <si>
    <t>CHANGE BY PRODUCT January 2016 THROUGH February  1, 2016</t>
  </si>
  <si>
    <t>EXT</t>
  </si>
  <si>
    <t>Rescinded</t>
  </si>
  <si>
    <t>February</t>
  </si>
  <si>
    <t>NEW LEASE February 2016 THROUGH March 1, 2016</t>
  </si>
  <si>
    <t>INACTIVE (DELETES) February 2016 THROUGH March  1, 2016</t>
  </si>
  <si>
    <t>Count as of March 1, 2016</t>
  </si>
  <si>
    <t>CHANGE BY PRODUCT February 2016 THROUGH March 1, 2016</t>
  </si>
  <si>
    <t>NEW LEASE March 2016 THROUGH April 1, 2016</t>
  </si>
  <si>
    <t>INACTIVE (DELETES) March 2016 THROUGH April 1, 2016</t>
  </si>
  <si>
    <t>Count as of April 1, 2016</t>
  </si>
  <si>
    <t>CHANGE BY PRODUCT March 2016 THROUGH April 1, 2016</t>
  </si>
  <si>
    <t>Damage credit for damage paid Jan 2016</t>
  </si>
  <si>
    <t>NEW LEASE April 2016 THROUGH May 1, 2016</t>
  </si>
  <si>
    <t>INACTIVE (DELETES) April 2016 THROUGH May  1, 2016</t>
  </si>
  <si>
    <t>Count as of May 1, 2016</t>
  </si>
  <si>
    <t>CHANGE BY PRODUCT April 2016 THROUGH May 1, 2016</t>
  </si>
  <si>
    <t>NEW LEASE May 2016 THROUGH June 1, 2016</t>
  </si>
  <si>
    <t>INACTIVE (DELETES) May 2016 THROUGH June 1, 2016</t>
  </si>
  <si>
    <t>Count as of June 1, 2016</t>
  </si>
  <si>
    <t>RESC</t>
  </si>
  <si>
    <t xml:space="preserve">RESC = Rescinded </t>
  </si>
  <si>
    <t>CHANGE BY PRODUCT May l 2016 THROUGH June 1, 2016</t>
  </si>
  <si>
    <t>NEW LEASE June 2016 THROUGH July 1, 2016</t>
  </si>
  <si>
    <t>INACTIVE (DELETES) June 2016 THROUGH July 1, 2016</t>
  </si>
  <si>
    <t>Count as of July 1, 2016</t>
  </si>
  <si>
    <t xml:space="preserve">ASSET COUNT </t>
  </si>
  <si>
    <t>Docking station</t>
  </si>
  <si>
    <t>notebook</t>
  </si>
  <si>
    <t>NEW LEASE July 2016 THROUGH August 1, 2016</t>
  </si>
  <si>
    <t>INACTIVE (DELETES) July 2016 THROUGH August 1, 2016</t>
  </si>
  <si>
    <t>Count as of August 1, 2016</t>
  </si>
  <si>
    <t>NEW LEASE Aug 2016 THROUGH Sept 1, 2016</t>
  </si>
  <si>
    <t>Count as of September 1, 2016</t>
  </si>
  <si>
    <t>CHANGE BY PRODUCT August 1 2016 THROUGH Sept 1, 2016</t>
  </si>
  <si>
    <t>CHANGE BY PRODUCT July  l 2016 THROUGH August 1, 2016</t>
  </si>
  <si>
    <t>CHANGE BY PRODUCT June l 2016 THROUGH July 1, 2016</t>
  </si>
  <si>
    <t>INACTIVE (DELETES) August  2016 THROUGH September  2016</t>
  </si>
  <si>
    <t>NEW LEASE September 2016 THROUGH October 1, 2016</t>
  </si>
  <si>
    <t>INACTIVE (DELETES) September  2016 THROUGH October 2016</t>
  </si>
  <si>
    <t>Count as of October 1, 2016</t>
  </si>
  <si>
    <t>CHANGE BY PRODUCT September 1 2016 THROUGH October 1, 2016</t>
  </si>
  <si>
    <t>Count as of September  1, 2016</t>
  </si>
  <si>
    <t>Count as of October  1, 2016</t>
  </si>
  <si>
    <t>NEW LEASE October 2016 THROUGH November 1, 2016</t>
  </si>
  <si>
    <t>INACTIVE (DELETES) October 2016 THROUGH November 2016</t>
  </si>
  <si>
    <t>Count as of November 1, 2016</t>
  </si>
  <si>
    <t xml:space="preserve">Monitor </t>
  </si>
  <si>
    <t xml:space="preserve">Monitors </t>
  </si>
  <si>
    <t>Monitor</t>
  </si>
  <si>
    <t>Transportation charges</t>
  </si>
  <si>
    <t xml:space="preserve">Transportation charges </t>
  </si>
  <si>
    <t>PC</t>
  </si>
  <si>
    <t>NEW LEASE November 1  2016 THROUGH December 1, 2016</t>
  </si>
  <si>
    <t>INACTIVE (DELETES) November 1 2016 THROUGH December 1 2016</t>
  </si>
  <si>
    <t>Count as of December 1, 2016</t>
  </si>
  <si>
    <t>January</t>
  </si>
  <si>
    <t xml:space="preserve">BUYBACK </t>
  </si>
  <si>
    <t>buyback</t>
  </si>
  <si>
    <t>Count as of December 1 2016</t>
  </si>
  <si>
    <t>INACTIVE (DELETES) December 1 2016 THROUGH January  1 2017</t>
  </si>
  <si>
    <t>NEW LEASE December  2016 THROUGH January 1, 2017</t>
  </si>
  <si>
    <t>CHANGE BY PRODUCT December 1 2016 THROUGH January 1  2017</t>
  </si>
  <si>
    <t>CHANGE BY PRODUCT October 1 2016 THROUGH November 1, 2016</t>
  </si>
  <si>
    <t>CHANGE BY PRODUCT November 1 2016 THROUGH December 1, 2016</t>
  </si>
  <si>
    <t>Count as of January 1, 2017</t>
  </si>
  <si>
    <t>Count as of January  1 2017</t>
  </si>
  <si>
    <t>NEW LEASE January   2017 THROUGH February 1, 2017</t>
  </si>
  <si>
    <t>INACTIVE (DELETES) January 2017 THROUGH February  1 2017</t>
  </si>
  <si>
    <t>Count as of February 1, 2017</t>
  </si>
  <si>
    <t>CHANGE BY PRODUCT January 1 2017 THROUGH February 1  2017</t>
  </si>
  <si>
    <t>b</t>
  </si>
  <si>
    <t xml:space="preserve">February </t>
  </si>
  <si>
    <t>Count as of February 1 2017</t>
  </si>
  <si>
    <t>NEW LEASE February  2017 THROUGH March 1, 2017</t>
  </si>
  <si>
    <t>INACTIVE (DELETES) February  2017 THROUGH March 1 2017</t>
  </si>
  <si>
    <t>Count as of March  1, 2017</t>
  </si>
  <si>
    <t>CHANGE BY PRODUCT February 1 2017 THROUGH March 1  2017</t>
  </si>
  <si>
    <t>Count as of March 1 2017</t>
  </si>
  <si>
    <t>NEW LEASE March 1 2017 THROUGH April  1, 2017</t>
  </si>
  <si>
    <t>INACTIVE (DELETES) March 1  2017 THROUGH April 1 2017</t>
  </si>
  <si>
    <t>Count as of April 1, 2017</t>
  </si>
  <si>
    <t>Count as of April 1 2017</t>
  </si>
  <si>
    <t>NEW LEASE April  1 2017 THROUGH May  1, 2017</t>
  </si>
  <si>
    <t>INACTIVE (DELETES) April 1  2017 THROUGH May  1 2017</t>
  </si>
  <si>
    <t>Count as of May  1, 2017</t>
  </si>
  <si>
    <t>P</t>
  </si>
  <si>
    <t>Count as of May 1 2017</t>
  </si>
  <si>
    <t>NEW LEASE May 1 2017 THROUGH June 1, 2017</t>
  </si>
  <si>
    <t>INACTIVE (DELETES) May  1  2017 THROUGH June  1 2017</t>
  </si>
  <si>
    <t>Count as of june  1, 2017</t>
  </si>
  <si>
    <t>CHANGE BY PRODUCT May  1 2017 THROUGH June 1  2017</t>
  </si>
  <si>
    <t>CHANGE BY PRODUCT April  1 2017 THROUGH May 1  2017</t>
  </si>
  <si>
    <t>CHANGE BY PRODUCT March 1 2017 THROUGH April 1  2017</t>
  </si>
  <si>
    <t>Count as of June 1 2017</t>
  </si>
  <si>
    <t>NEW LEASE June 1 2017 THROUGH July 1, 2017</t>
  </si>
  <si>
    <t>INACTIVE (DELETES) June  1  2017 THROUGH July  1 2017</t>
  </si>
  <si>
    <t>Count as of july  1, 2017</t>
  </si>
  <si>
    <t>CHANGE BY PRODUCT June 1 2017 THROUGH July 1  2017</t>
  </si>
  <si>
    <t xml:space="preserve">August </t>
  </si>
  <si>
    <t>Count as of July 1 2017</t>
  </si>
  <si>
    <t>NEW LEASE July 1 2017 THROUGH Aug 1, 2017</t>
  </si>
  <si>
    <t>INACTIVE (DELETES) July  1  2017 THROUGH Aug  1 2017</t>
  </si>
  <si>
    <t>Count as of Aug  1, 2017</t>
  </si>
  <si>
    <t>CHANGE BY PRODUCT July 1 2017 THROUGH Aug 1  2017</t>
  </si>
  <si>
    <t>Count as of August 1 2017</t>
  </si>
  <si>
    <t>NEW LEASE August 1 2017 THROUGH September 1, 2017</t>
  </si>
  <si>
    <t>INACTIVE (DELETES) August  1  2017 THROUGH September 1 2017</t>
  </si>
  <si>
    <t>Count as of September 1, 2017</t>
  </si>
  <si>
    <t>CHANGE BY PRODUCT August 1 2017 THROUGH September 1  2017</t>
  </si>
  <si>
    <t>Count as of September  1 2017</t>
  </si>
  <si>
    <t>NEW LEASE September  1 2017 THROUGH October 1, 2017</t>
  </si>
  <si>
    <t>INACTIVE (DELETES) September 1  2017 THROUGH October 1 2017</t>
  </si>
  <si>
    <t>Count as of October 1, 2017</t>
  </si>
  <si>
    <t>CHANGE BY PRODUCT September  1 2017 THROUGH October 1  2017</t>
  </si>
  <si>
    <t>Count as of October 1 2017</t>
  </si>
  <si>
    <t>NEW LEASE October  1 2017 THROUGH November 1, 2017</t>
  </si>
  <si>
    <t>INACTIVE (DELETES) October 1  2017 THROUGH November 1 2017</t>
  </si>
  <si>
    <t>Count as of Nobember 1, 2017</t>
  </si>
  <si>
    <t>CHANGE BY PRODUCT October 1 2017 THROUGH Nobember 1  2017</t>
  </si>
  <si>
    <t xml:space="preserve">December </t>
  </si>
  <si>
    <t>Count as of November 1 2017</t>
  </si>
  <si>
    <t>NEW LEASE November  1 2017 THROUGH December 1, 2017</t>
  </si>
  <si>
    <t>INACTIVE (DELETES) November 1  2017 THROUGH December 1 2017</t>
  </si>
  <si>
    <t>Count as of December 1, 2017</t>
  </si>
  <si>
    <t>CHANGE BY PRODUCT November  1 2017 THROUGH December 1  2017</t>
  </si>
  <si>
    <t>Janauary</t>
  </si>
  <si>
    <t>Count as of December 1 2017</t>
  </si>
  <si>
    <t>NEW LEASE December 1, 2017 THROUGH January  1, 2018</t>
  </si>
  <si>
    <t>INACTIVE (DELETES) December 1  2017 THROUGH January  1 2018</t>
  </si>
  <si>
    <t>Count as of January 1, 2018</t>
  </si>
  <si>
    <t>NEW LEASE January 1, 2017 THROUGH February  1, 2018</t>
  </si>
  <si>
    <t>INACTIVE (DELETES) January  1  2017 THROUGH February 1 2018</t>
  </si>
  <si>
    <t>Count as of February 1, 2018</t>
  </si>
  <si>
    <t>NEW LEASE February  1, 2017 THROUGH March 1, 2018</t>
  </si>
  <si>
    <t>INACTIVE (DELETES) February 1  2017 THROUGH March 1 2018</t>
  </si>
  <si>
    <t>Count as of March 1  2018</t>
  </si>
  <si>
    <t>Count as of March 1, 2018</t>
  </si>
  <si>
    <t>NEW LEASE March 1, 2017 THROUGH April 1, 2018</t>
  </si>
  <si>
    <t>INACTIVE (DELETES) March 1  2017 THROUGH April 1 2018</t>
  </si>
  <si>
    <t>Count as of April 1  2018</t>
  </si>
  <si>
    <t>Count as of April 1, 2018</t>
  </si>
  <si>
    <t>NEW LEASE April 1, 2017 THROUGH May 1, 2018</t>
  </si>
  <si>
    <t>INACTIVE (DELETES) April 1  2017 THROUGH May 1 2018</t>
  </si>
  <si>
    <t>Count as of May 1  2018</t>
  </si>
  <si>
    <t>CHANGE BY PRODUCT April 1 2018 THROUGH May  1  2018</t>
  </si>
  <si>
    <t>CHANGE BY PRODUCT March 1 2018 THROUGH April 1  2018</t>
  </si>
  <si>
    <t>CHANGE BY PRODUCT February 1 2017 THROUGH March 1  2018</t>
  </si>
  <si>
    <t>CHANGE BY PRODUCT January 1 2018 THROUGH February 1  2018</t>
  </si>
  <si>
    <t>CHANGE BY PRODUCT December  1 2017 THROUGH January 1  2018</t>
  </si>
  <si>
    <t>Count as of MAy 1, 2018</t>
  </si>
  <si>
    <t>Count as of June 1  2018</t>
  </si>
  <si>
    <t xml:space="preserve">July </t>
  </si>
  <si>
    <t>Count as of July 1  2018</t>
  </si>
  <si>
    <t>CHANGE BY PRODUCT Mayl 1 2018 THROUGH June 1  2018</t>
  </si>
  <si>
    <t>CHANGE BY PRODUCT June 1 2018 THROUGH July 1  2018</t>
  </si>
  <si>
    <t>Count as of August 1  2018</t>
  </si>
  <si>
    <t>CHANGE BY PRODUCT July 1 2018 THROUGH August 1  2018</t>
  </si>
  <si>
    <t>NEW LEASE August 1, 2018 THROUGH September 1, 2018</t>
  </si>
  <si>
    <t>INACTIVE (DELETES) August 1 2018 THROUGH September 1 2018</t>
  </si>
  <si>
    <t>Count as of September 1  2018</t>
  </si>
  <si>
    <t>NEW LEASE July 1, 2018 THROUGH August 1, 2018</t>
  </si>
  <si>
    <t>INACTIVE (DELETES) July 1  2018 THROUGH August 1 2018</t>
  </si>
  <si>
    <t>NEW LEASE June 1, 2018 THROUGH July 1, 2018</t>
  </si>
  <si>
    <t>INACTIVE (DELETES) June 1  2018 THROUGH July 1 2018</t>
  </si>
  <si>
    <t>NEW LEASE May 1, 2018 THROUGH June 1, 2018</t>
  </si>
  <si>
    <t>INACTIVE (DELETES) May 1  2018 THROUGH June 1 2018</t>
  </si>
  <si>
    <t>CHANGE BY PRODUCT Aug 1 2018 THROUGH Sept 1  2018</t>
  </si>
  <si>
    <t>Count as of Sept 1  2018</t>
  </si>
  <si>
    <t>NEW LEASE Sept 1, 2018 THROUGH Oct 1, 2018</t>
  </si>
  <si>
    <t>INACTIVE (DELETES) Sept 1 2018 THROUGH Oct  1 2018</t>
  </si>
  <si>
    <t>Count as of October  1  2018</t>
  </si>
  <si>
    <t>CHANGE BY PRODUCT Sept 1 2018 THROUGH October 1  2018</t>
  </si>
  <si>
    <t>Count as of oct 1 2018</t>
  </si>
  <si>
    <t>NEW LEASE OCT 1, 2018 THROUGH Nov 1, 2018</t>
  </si>
  <si>
    <t>INACTIVE (DELETES) OCT 1 2018 THROUGH Nov 1 2018</t>
  </si>
  <si>
    <t>Count as of Nov  1  2018</t>
  </si>
  <si>
    <t>NEW LEASE NOV 1, 2018 THROUGH DEC 1, 2018</t>
  </si>
  <si>
    <t>INACTIVE (DELETES) NOV 1 2018 THROUGH DEC 1 2018</t>
  </si>
  <si>
    <t>Count as of DEC  1  2018</t>
  </si>
  <si>
    <t>CHANGE BY PRODUCT NOV 1 2018 THROUGH DEC 1  2018</t>
  </si>
  <si>
    <t>CHANGE BY PRODUCT OCT 1 2018 THROUGH NOV 1  2018</t>
  </si>
  <si>
    <t>NEW LEASE DEC 1, 2018 THROUGH JAN 1, 2019</t>
  </si>
  <si>
    <t>INACTIVE (DELETES)  DEC 1, 2018 THROUGH JAN 1, 2019</t>
  </si>
  <si>
    <t>Count as of JAN 1 2018</t>
  </si>
  <si>
    <t>CHANGE BY PRODUCT DEC 1, 2018 THROUGH JAN 1, 2019</t>
  </si>
  <si>
    <t>NEW LEASE JAN 1, 2019 THROUGH FEB 1, 2019</t>
  </si>
  <si>
    <t>Count as of FEB 1 2019</t>
  </si>
  <si>
    <t>INACTIVE (DELETES)  JAN 1, 2018 THROUGH FEB 1, 2019</t>
  </si>
  <si>
    <t>Count as of JAN  1  2019</t>
  </si>
  <si>
    <t>NEW LEASE FEB 1, 2019 THROUGH MAR 1, 2019</t>
  </si>
  <si>
    <t>Count as of MAR 1 2019</t>
  </si>
  <si>
    <t>CHANGE BY PRODUCT JAN 1, 2018 THROUGH FEB 1, 2019</t>
  </si>
  <si>
    <t>CHANGE BY PRODUCT FEB 1, 2018 THROUGH MAR 1, 2019</t>
  </si>
  <si>
    <t>NEW LEASE MAR 1, 2019 THROUGH APR 1, 2019</t>
  </si>
  <si>
    <t>INACTIVE (DELETES)  MAR 1, 2019 THROUGH APR 1, 2019</t>
  </si>
  <si>
    <t>Count as of APR 1 2019</t>
  </si>
  <si>
    <t>INACTIVE (DELETES)  FEB 1, 2019 THROUGH MAR 1, 2019</t>
  </si>
  <si>
    <t>CHANGE BY PRODUCT MAR 1, 2019 THROUGH APR 1, 2019</t>
  </si>
  <si>
    <t>Count as of MAY 1 2019</t>
  </si>
  <si>
    <t>INACTIVE (DELETES)  APR 1, 2019 THROUGH MAY 1, 2019</t>
  </si>
  <si>
    <t>NEW LEASE APR 1, 2019 THROUGH MAY 1, 2019</t>
  </si>
  <si>
    <t>CHANGE BY PRODUCT APR 1, 2019 THROUGH MAY 1, 2019</t>
  </si>
  <si>
    <t>NEW LEASE MAY 1, 2019 THROUGH JUNE 1, 2019</t>
  </si>
  <si>
    <t>INACTIVE (DELETES)  MAY 1, 2019 THROUGH JUNE 1, 2019</t>
  </si>
  <si>
    <t>Count as of JUNE 1 2019</t>
  </si>
  <si>
    <t>CHANGE BY PRODUCT MAY 1, 2019 THROUGH JUNE 1, 2019</t>
  </si>
  <si>
    <t>NEW LEASE JUNE 1, 2019 THROUGH JULY 1, 2019</t>
  </si>
  <si>
    <t>INACTIVE (DELETES)  JUNE 1, 2019 THROUGH JULY 1, 2019</t>
  </si>
  <si>
    <t>Count as of JULY 1 2019</t>
  </si>
  <si>
    <t>CHANGE BY PRODUCT JUNE 1, 2019 THROUGH JULY 1, 2019</t>
  </si>
  <si>
    <t>Count as of AUG 1 2019</t>
  </si>
  <si>
    <t>INACTIVE (DELETES)  JULY 1, 2019 THROUGH AUG 1, 2019</t>
  </si>
  <si>
    <t>NEW LEASE JULY 1, 2019 THROUGH AUG 1, 2019</t>
  </si>
  <si>
    <t>CHANGE BY PRODUCT JULY 1, 2019 THROUGH AUG 1, 2019</t>
  </si>
  <si>
    <t>Aug</t>
  </si>
  <si>
    <t>Count as of September 1 2019</t>
  </si>
  <si>
    <t>INACTIVE (DELETES)  AUG 1, 2019 THROUGH SEPTEMBER 1, 2019</t>
  </si>
  <si>
    <t>NEW LEASE AUG 1, 2019 THROUGH SEPTEMBER 1, 2019</t>
  </si>
  <si>
    <t>Count as of October 1 2019</t>
  </si>
  <si>
    <t>INACTIVE (DELETES)  SEPT 1, 2019 THROUGH OCTOBER 1, 2019</t>
  </si>
  <si>
    <t>NEW LEASE SEPT 1, 2019 THROUGH OCTOBER 1, 2019</t>
  </si>
  <si>
    <t>Count as of November 1 2019</t>
  </si>
  <si>
    <t>INACTIVE (DELETES)  OCTOBER 1, 2019 THROUGH NOVEMBER 1, 2019</t>
  </si>
  <si>
    <t>NEW LEASE OCTOBER 1, 2019 THROUGH NOVEMBER 1, 2019</t>
  </si>
  <si>
    <t>Count as of December 1 2019</t>
  </si>
  <si>
    <t>INACTIVE (DELETES)  NOVEMBER 1, 2019 THROUGH DECEMBER 1, 2019</t>
  </si>
  <si>
    <t>NEW LEASE NOVEMBER 1, 2019 THROUGH DECEMBER 1, 2019</t>
  </si>
  <si>
    <t>Count as of DECEMBER 1 2019</t>
  </si>
  <si>
    <t>NEW LEASE DECEMBER 1, 2019 THROUGH JANUARY 1, 2020</t>
  </si>
  <si>
    <t>INACTIVE (DELETES)  DECEMBER 1, 2019 THROUGH JANUARY 1, 2020</t>
  </si>
  <si>
    <t>Count as of JANUARY 1 2020</t>
  </si>
  <si>
    <t>CHANGE BY PRODUCT DECEMBER 1, 2019 THROUGH JANUARY 1, 2020</t>
  </si>
  <si>
    <t>Count as of January 1 2020</t>
  </si>
  <si>
    <t>NEW LEASE JANUARY 1, 2020 THROUGH FEBRUARY 1, 2020</t>
  </si>
  <si>
    <t>CHANGE BY PRODUCT JANUARY 1, 2019 THROUGH FEBRUARY 1, 2020</t>
  </si>
  <si>
    <t>Count as of FEBRUARY 1 2020</t>
  </si>
  <si>
    <t>INACTIVE (DELETES)  JANUARY 1, 2019 THROUGH FEBRUARY 1, 2020</t>
  </si>
  <si>
    <t>Count as of March 1 2020</t>
  </si>
  <si>
    <t>INACTIVE (DELETES)  FEB 1, 2019 THROUGH MAR 1, 2020</t>
  </si>
  <si>
    <t>NEW LEASE FEB 1, 2020 THROUGH MAR 1, 2020</t>
  </si>
  <si>
    <t>CHANGE BY PRODUCT FEB 1, 2019 THROUGH MAR 1, 2020</t>
  </si>
  <si>
    <t>NEW LEASE MAR 1, 2020 THROUGH APRIL 1, 2020</t>
  </si>
  <si>
    <t>INACTIVE (DELETES)  MAR 1, 2019 THROUGH APRIL 1, 2020</t>
  </si>
  <si>
    <t>Count as of APRIL 1 2020</t>
  </si>
  <si>
    <t>PNC PC IBM Global Finance Recap</t>
  </si>
  <si>
    <t>Count as of 4.01.2020</t>
  </si>
  <si>
    <t>New Leases: 4.01.2020 through 5.01.2020</t>
  </si>
  <si>
    <t>Inactives (Deletes): 4.01.2020 through 5.01.2020</t>
  </si>
  <si>
    <t>Count as of 5.01.2020</t>
  </si>
  <si>
    <t>maio</t>
  </si>
  <si>
    <t>Change by product 4.01.2020 through 5.01.2020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</si>
</sst>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14" x14ac:knownFonts="1">
    <font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sz val="9"/>
      <color theme="1"/>
      <name val="Arial"/>
      <family val="2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sz val="11"/>
      <color indexed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 tint="-9.9948118533890809E-2"/>
        <bgColor indexed="64"/>
      </patternFill>
    </fill>
  </fills>
  <borders count="32">
    <border>
      <left/>
      <right/>
      <top/>
      <bottom/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0" fontId="12" fillId="0" borderId="0"/>
  </cellStyleXfs>
  <cellXfs count="165">
    <xf numFmtId="0" fontId="0" fillId="0" borderId="0" xfId="0"/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0" fillId="3" borderId="6" xfId="0" applyFill="1" applyBorder="1"/>
    <xf numFmtId="0" fontId="6" fillId="0" borderId="0" xfId="0" applyFont="1"/>
    <xf numFmtId="0" fontId="0" fillId="3" borderId="16" xfId="0" applyFill="1" applyBorder="1"/>
    <xf numFmtId="0" fontId="0" fillId="0" borderId="16" xfId="0" applyBorder="1"/>
    <xf numFmtId="164" fontId="0" fillId="0" borderId="2" xfId="0" applyNumberFormat="1" applyBorder="1"/>
    <xf numFmtId="4" fontId="0" fillId="0" borderId="2" xfId="0" applyNumberFormat="1" applyBorder="1"/>
    <xf numFmtId="164" fontId="5" fillId="0" borderId="2" xfId="1" applyNumberFormat="1" applyFont="1" applyBorder="1"/>
    <xf numFmtId="0" fontId="2" fillId="2" borderId="16" xfId="0" applyFont="1" applyFill="1" applyBorder="1" applyAlignment="1">
      <alignment horizontal="center"/>
    </xf>
    <xf numFmtId="0" fontId="0" fillId="2" borderId="16" xfId="0" applyFill="1" applyBorder="1"/>
    <xf numFmtId="44" fontId="0" fillId="0" borderId="16" xfId="1" applyFont="1" applyBorder="1"/>
    <xf numFmtId="0" fontId="7" fillId="0" borderId="16" xfId="0" applyFont="1" applyBorder="1"/>
    <xf numFmtId="0" fontId="8" fillId="0" borderId="16" xfId="0" applyFont="1" applyBorder="1"/>
    <xf numFmtId="4" fontId="0" fillId="0" borderId="0" xfId="0" applyNumberFormat="1"/>
    <xf numFmtId="4" fontId="2" fillId="2" borderId="2" xfId="0" applyNumberFormat="1" applyFont="1" applyFill="1" applyBorder="1" applyAlignment="1">
      <alignment horizontal="center" vertical="top"/>
    </xf>
    <xf numFmtId="4" fontId="0" fillId="0" borderId="16" xfId="0" applyNumberFormat="1" applyBorder="1"/>
    <xf numFmtId="4" fontId="2" fillId="2" borderId="16" xfId="0" applyNumberFormat="1" applyFont="1" applyFill="1" applyBorder="1" applyAlignment="1">
      <alignment horizontal="center"/>
    </xf>
    <xf numFmtId="164" fontId="0" fillId="5" borderId="2" xfId="0" applyNumberFormat="1" applyFill="1" applyBorder="1"/>
    <xf numFmtId="164" fontId="0" fillId="6" borderId="2" xfId="0" applyNumberFormat="1" applyFill="1" applyBorder="1"/>
    <xf numFmtId="0" fontId="2" fillId="2" borderId="7" xfId="0" applyFont="1" applyFill="1" applyBorder="1" applyAlignment="1">
      <alignment horizontal="center" vertical="top"/>
    </xf>
    <xf numFmtId="0" fontId="2" fillId="2" borderId="16" xfId="0" applyFont="1" applyFill="1" applyBorder="1" applyAlignment="1">
      <alignment horizontal="center" vertical="top"/>
    </xf>
    <xf numFmtId="0" fontId="3" fillId="0" borderId="0" xfId="0" applyFont="1"/>
    <xf numFmtId="0" fontId="0" fillId="7" borderId="0" xfId="0" applyFill="1"/>
    <xf numFmtId="0" fontId="2" fillId="0" borderId="0" xfId="0" applyFont="1"/>
    <xf numFmtId="0" fontId="2" fillId="7" borderId="0" xfId="0" applyFont="1" applyFill="1"/>
    <xf numFmtId="164" fontId="0" fillId="5" borderId="4" xfId="0" applyNumberFormat="1" applyFill="1" applyBorder="1"/>
    <xf numFmtId="0" fontId="2" fillId="2" borderId="8" xfId="0" applyFont="1" applyFill="1" applyBorder="1" applyAlignment="1">
      <alignment horizontal="center" vertical="top"/>
    </xf>
    <xf numFmtId="0" fontId="0" fillId="8" borderId="0" xfId="0" applyFill="1"/>
    <xf numFmtId="164" fontId="0" fillId="4" borderId="9" xfId="0" applyNumberFormat="1" applyFill="1" applyBorder="1"/>
    <xf numFmtId="164" fontId="0" fillId="4" borderId="10" xfId="0" applyNumberFormat="1" applyFill="1" applyBorder="1"/>
    <xf numFmtId="164" fontId="0" fillId="4" borderId="14" xfId="0" applyNumberFormat="1" applyFill="1" applyBorder="1"/>
    <xf numFmtId="164" fontId="3" fillId="2" borderId="13" xfId="0" applyNumberFormat="1" applyFont="1" applyFill="1" applyBorder="1"/>
    <xf numFmtId="164" fontId="0" fillId="0" borderId="16" xfId="0" applyNumberFormat="1" applyBorder="1"/>
    <xf numFmtId="164" fontId="0" fillId="0" borderId="0" xfId="0" applyNumberFormat="1"/>
    <xf numFmtId="164" fontId="0" fillId="0" borderId="6" xfId="0" applyNumberFormat="1" applyBorder="1"/>
    <xf numFmtId="164" fontId="0" fillId="0" borderId="15" xfId="0" applyNumberFormat="1" applyBorder="1"/>
    <xf numFmtId="4" fontId="0" fillId="0" borderId="6" xfId="0" applyNumberFormat="1" applyBorder="1"/>
    <xf numFmtId="4" fontId="0" fillId="0" borderId="5" xfId="0" applyNumberFormat="1" applyBorder="1"/>
    <xf numFmtId="4" fontId="0" fillId="0" borderId="15" xfId="0" applyNumberFormat="1" applyBorder="1"/>
    <xf numFmtId="4" fontId="3" fillId="2" borderId="13" xfId="0" applyNumberFormat="1" applyFont="1" applyFill="1" applyBorder="1"/>
    <xf numFmtId="4" fontId="2" fillId="2" borderId="16" xfId="0" applyNumberFormat="1" applyFont="1" applyFill="1" applyBorder="1" applyAlignment="1">
      <alignment horizontal="center" vertical="top"/>
    </xf>
    <xf numFmtId="3" fontId="0" fillId="0" borderId="0" xfId="0" applyNumberFormat="1"/>
    <xf numFmtId="164" fontId="3" fillId="2" borderId="19" xfId="0" applyNumberFormat="1" applyFont="1" applyFill="1" applyBorder="1"/>
    <xf numFmtId="164" fontId="0" fillId="9" borderId="21" xfId="0" applyNumberFormat="1" applyFill="1" applyBorder="1"/>
    <xf numFmtId="4" fontId="0" fillId="0" borderId="22" xfId="0" applyNumberFormat="1" applyBorder="1"/>
    <xf numFmtId="4" fontId="0" fillId="0" borderId="20" xfId="0" applyNumberFormat="1" applyBorder="1"/>
    <xf numFmtId="164" fontId="0" fillId="9" borderId="23" xfId="0" applyNumberFormat="1" applyFill="1" applyBorder="1"/>
    <xf numFmtId="164" fontId="0" fillId="9" borderId="24" xfId="0" applyNumberFormat="1" applyFill="1" applyBorder="1"/>
    <xf numFmtId="164" fontId="0" fillId="0" borderId="0" xfId="0" applyNumberFormat="1" applyAlignment="1">
      <alignment horizontal="right"/>
    </xf>
    <xf numFmtId="164" fontId="9" fillId="0" borderId="0" xfId="0" applyNumberFormat="1" applyFont="1" applyAlignment="1">
      <alignment horizontal="right"/>
    </xf>
    <xf numFmtId="164" fontId="0" fillId="0" borderId="15" xfId="0" applyNumberFormat="1" applyBorder="1" applyAlignment="1">
      <alignment horizontal="right"/>
    </xf>
    <xf numFmtId="164" fontId="0" fillId="0" borderId="6" xfId="0" applyNumberFormat="1" applyBorder="1" applyAlignment="1">
      <alignment horizontal="right"/>
    </xf>
    <xf numFmtId="164" fontId="0" fillId="0" borderId="25" xfId="0" applyNumberFormat="1" applyBorder="1" applyAlignment="1">
      <alignment horizontal="right"/>
    </xf>
    <xf numFmtId="0" fontId="2" fillId="2" borderId="23" xfId="0" applyFont="1" applyFill="1" applyBorder="1" applyAlignment="1">
      <alignment horizontal="center" vertical="top"/>
    </xf>
    <xf numFmtId="164" fontId="0" fillId="10" borderId="0" xfId="0" applyNumberFormat="1" applyFill="1"/>
    <xf numFmtId="164" fontId="0" fillId="10" borderId="0" xfId="0" applyNumberFormat="1" applyFill="1" applyAlignment="1">
      <alignment horizontal="right"/>
    </xf>
    <xf numFmtId="44" fontId="0" fillId="0" borderId="0" xfId="0" applyNumberFormat="1"/>
    <xf numFmtId="164" fontId="0" fillId="10" borderId="16" xfId="0" applyNumberFormat="1" applyFill="1" applyBorder="1"/>
    <xf numFmtId="164" fontId="0" fillId="3" borderId="6" xfId="0" applyNumberFormat="1" applyFill="1" applyBorder="1"/>
    <xf numFmtId="3" fontId="2" fillId="0" borderId="0" xfId="0" applyNumberFormat="1" applyFont="1"/>
    <xf numFmtId="164" fontId="3" fillId="0" borderId="19" xfId="0" applyNumberFormat="1" applyFont="1" applyBorder="1"/>
    <xf numFmtId="164" fontId="0" fillId="3" borderId="16" xfId="0" applyNumberFormat="1" applyFill="1" applyBorder="1"/>
    <xf numFmtId="0" fontId="3" fillId="2" borderId="0" xfId="0" applyFont="1" applyFill="1" applyAlignment="1">
      <alignment horizontal="center"/>
    </xf>
    <xf numFmtId="1" fontId="3" fillId="2" borderId="0" xfId="0" applyNumberFormat="1" applyFont="1" applyFill="1"/>
    <xf numFmtId="44" fontId="10" fillId="2" borderId="12" xfId="1" applyFont="1" applyFill="1" applyBorder="1"/>
    <xf numFmtId="1" fontId="10" fillId="2" borderId="0" xfId="1" applyNumberFormat="1" applyFont="1" applyFill="1"/>
    <xf numFmtId="0" fontId="3" fillId="2" borderId="0" xfId="0" applyFont="1" applyFill="1"/>
    <xf numFmtId="0" fontId="10" fillId="0" borderId="26" xfId="0" applyFont="1" applyBorder="1"/>
    <xf numFmtId="3" fontId="3" fillId="2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0" fillId="3" borderId="27" xfId="0" applyFill="1" applyBorder="1"/>
    <xf numFmtId="0" fontId="0" fillId="3" borderId="28" xfId="0" applyFill="1" applyBorder="1"/>
    <xf numFmtId="164" fontId="0" fillId="0" borderId="28" xfId="0" applyNumberFormat="1" applyBorder="1"/>
    <xf numFmtId="164" fontId="0" fillId="6" borderId="28" xfId="0" applyNumberFormat="1" applyFill="1" applyBorder="1"/>
    <xf numFmtId="164" fontId="0" fillId="5" borderId="28" xfId="0" applyNumberFormat="1" applyFill="1" applyBorder="1"/>
    <xf numFmtId="164" fontId="0" fillId="4" borderId="28" xfId="0" applyNumberFormat="1" applyFill="1" applyBorder="1"/>
    <xf numFmtId="4" fontId="0" fillId="0" borderId="28" xfId="0" applyNumberFormat="1" applyBorder="1"/>
    <xf numFmtId="164" fontId="0" fillId="9" borderId="28" xfId="0" applyNumberFormat="1" applyFill="1" applyBorder="1"/>
    <xf numFmtId="164" fontId="0" fillId="0" borderId="28" xfId="0" applyNumberFormat="1" applyBorder="1" applyAlignment="1">
      <alignment horizontal="right"/>
    </xf>
    <xf numFmtId="164" fontId="0" fillId="10" borderId="28" xfId="0" applyNumberFormat="1" applyFill="1" applyBorder="1" applyAlignment="1">
      <alignment horizontal="right"/>
    </xf>
    <xf numFmtId="164" fontId="0" fillId="10" borderId="28" xfId="0" applyNumberFormat="1" applyFill="1" applyBorder="1"/>
    <xf numFmtId="164" fontId="0" fillId="3" borderId="28" xfId="0" applyNumberFormat="1" applyFill="1" applyBorder="1"/>
    <xf numFmtId="0" fontId="0" fillId="3" borderId="5" xfId="0" applyFill="1" applyBorder="1"/>
    <xf numFmtId="0" fontId="0" fillId="3" borderId="29" xfId="0" applyFill="1" applyBorder="1"/>
    <xf numFmtId="0" fontId="0" fillId="3" borderId="30" xfId="0" applyFill="1" applyBorder="1"/>
    <xf numFmtId="164" fontId="0" fillId="0" borderId="30" xfId="0" applyNumberFormat="1" applyBorder="1"/>
    <xf numFmtId="164" fontId="0" fillId="6" borderId="30" xfId="0" applyNumberFormat="1" applyFill="1" applyBorder="1"/>
    <xf numFmtId="164" fontId="0" fillId="5" borderId="30" xfId="0" applyNumberFormat="1" applyFill="1" applyBorder="1"/>
    <xf numFmtId="164" fontId="0" fillId="4" borderId="30" xfId="0" applyNumberFormat="1" applyFill="1" applyBorder="1"/>
    <xf numFmtId="4" fontId="0" fillId="0" borderId="30" xfId="0" applyNumberFormat="1" applyBorder="1"/>
    <xf numFmtId="164" fontId="0" fillId="9" borderId="30" xfId="0" applyNumberFormat="1" applyFill="1" applyBorder="1"/>
    <xf numFmtId="164" fontId="0" fillId="0" borderId="30" xfId="0" applyNumberFormat="1" applyBorder="1" applyAlignment="1">
      <alignment horizontal="right"/>
    </xf>
    <xf numFmtId="164" fontId="0" fillId="10" borderId="30" xfId="0" applyNumberFormat="1" applyFill="1" applyBorder="1" applyAlignment="1">
      <alignment horizontal="right"/>
    </xf>
    <xf numFmtId="164" fontId="0" fillId="10" borderId="30" xfId="0" applyNumberFormat="1" applyFill="1" applyBorder="1"/>
    <xf numFmtId="164" fontId="0" fillId="3" borderId="30" xfId="0" applyNumberFormat="1" applyFill="1" applyBorder="1"/>
    <xf numFmtId="0" fontId="0" fillId="3" borderId="22" xfId="0" applyFill="1" applyBorder="1"/>
    <xf numFmtId="164" fontId="10" fillId="2" borderId="0" xfId="0" applyNumberFormat="1" applyFont="1" applyFill="1"/>
    <xf numFmtId="0" fontId="2" fillId="2" borderId="4" xfId="0" applyFont="1" applyFill="1" applyBorder="1" applyAlignment="1">
      <alignment horizontal="center" vertical="top"/>
    </xf>
    <xf numFmtId="0" fontId="2" fillId="2" borderId="18" xfId="0" applyFont="1" applyFill="1" applyBorder="1" applyAlignment="1">
      <alignment horizontal="center" vertical="top"/>
    </xf>
    <xf numFmtId="1" fontId="0" fillId="2" borderId="0" xfId="0" applyNumberFormat="1" applyFill="1" applyAlignment="1">
      <alignment horizontal="right"/>
    </xf>
    <xf numFmtId="1" fontId="3" fillId="2" borderId="0" xfId="0" applyNumberFormat="1" applyFont="1" applyFill="1" applyAlignment="1">
      <alignment horizontal="right"/>
    </xf>
    <xf numFmtId="164" fontId="0" fillId="0" borderId="5" xfId="0" applyNumberFormat="1" applyBorder="1"/>
    <xf numFmtId="164" fontId="0" fillId="0" borderId="22" xfId="0" applyNumberFormat="1" applyBorder="1"/>
    <xf numFmtId="164" fontId="0" fillId="5" borderId="6" xfId="0" applyNumberFormat="1" applyFill="1" applyBorder="1"/>
    <xf numFmtId="164" fontId="0" fillId="5" borderId="16" xfId="0" applyNumberFormat="1" applyFill="1" applyBorder="1"/>
    <xf numFmtId="164" fontId="0" fillId="5" borderId="0" xfId="0" applyNumberFormat="1" applyFill="1"/>
    <xf numFmtId="164" fontId="0" fillId="5" borderId="0" xfId="0" applyNumberFormat="1" applyFill="1" applyAlignment="1">
      <alignment horizontal="right"/>
    </xf>
    <xf numFmtId="164" fontId="0" fillId="5" borderId="16" xfId="0" applyNumberFormat="1" applyFill="1" applyBorder="1" applyAlignment="1">
      <alignment horizontal="right"/>
    </xf>
    <xf numFmtId="164" fontId="0" fillId="5" borderId="28" xfId="0" applyNumberFormat="1" applyFill="1" applyBorder="1" applyAlignment="1">
      <alignment horizontal="right"/>
    </xf>
    <xf numFmtId="164" fontId="0" fillId="5" borderId="30" xfId="0" applyNumberFormat="1" applyFill="1" applyBorder="1" applyAlignment="1">
      <alignment horizontal="right"/>
    </xf>
    <xf numFmtId="0" fontId="0" fillId="2" borderId="0" xfId="0" applyFill="1" applyAlignment="1">
      <alignment horizontal="right"/>
    </xf>
    <xf numFmtId="0" fontId="3" fillId="2" borderId="0" xfId="0" applyFont="1" applyFill="1" applyAlignment="1">
      <alignment horizontal="right"/>
    </xf>
    <xf numFmtId="0" fontId="0" fillId="2" borderId="0" xfId="0" applyFill="1"/>
    <xf numFmtId="164" fontId="0" fillId="6" borderId="6" xfId="0" applyNumberFormat="1" applyFill="1" applyBorder="1"/>
    <xf numFmtId="164" fontId="0" fillId="6" borderId="0" xfId="0" applyNumberFormat="1" applyFill="1"/>
    <xf numFmtId="164" fontId="0" fillId="6" borderId="5" xfId="0" applyNumberFormat="1" applyFill="1" applyBorder="1"/>
    <xf numFmtId="164" fontId="0" fillId="6" borderId="22" xfId="0" applyNumberFormat="1" applyFill="1" applyBorder="1"/>
    <xf numFmtId="44" fontId="11" fillId="0" borderId="16" xfId="1" applyFont="1" applyBorder="1" applyAlignment="1">
      <alignment horizontal="center"/>
    </xf>
    <xf numFmtId="0" fontId="0" fillId="0" borderId="0" xfId="0" applyNumberFormat="1"/>
    <xf numFmtId="3" fontId="0" fillId="0" borderId="0" xfId="0" applyNumberFormat="1" applyAlignment="1">
      <alignment horizontal="center"/>
    </xf>
    <xf numFmtId="0" fontId="2" fillId="2" borderId="0" xfId="0" applyFont="1" applyFill="1" applyBorder="1" applyAlignment="1">
      <alignment horizontal="center" vertical="top"/>
    </xf>
    <xf numFmtId="0" fontId="0" fillId="0" borderId="0" xfId="0" applyNumberFormat="1" applyAlignment="1">
      <alignment horizontal="center"/>
    </xf>
    <xf numFmtId="3" fontId="0" fillId="2" borderId="0" xfId="0" applyNumberFormat="1" applyFill="1"/>
    <xf numFmtId="3" fontId="12" fillId="0" borderId="0" xfId="2" applyNumberFormat="1" applyAlignment="1">
      <alignment horizontal="center"/>
    </xf>
    <xf numFmtId="3" fontId="12" fillId="0" borderId="0" xfId="2" applyNumberFormat="1" applyAlignment="1">
      <alignment horizontal="center"/>
    </xf>
    <xf numFmtId="3" fontId="12" fillId="0" borderId="0" xfId="2" applyNumberFormat="1" applyAlignment="1">
      <alignment horizontal="center"/>
    </xf>
    <xf numFmtId="3" fontId="12" fillId="0" borderId="0" xfId="2" applyNumberFormat="1" applyAlignment="1">
      <alignment horizontal="center"/>
    </xf>
    <xf numFmtId="3" fontId="12" fillId="0" borderId="0" xfId="2" applyNumberFormat="1" applyAlignment="1">
      <alignment horizontal="center"/>
    </xf>
    <xf numFmtId="3" fontId="12" fillId="0" borderId="0" xfId="2" applyNumberFormat="1" applyAlignment="1">
      <alignment horizontal="center"/>
    </xf>
    <xf numFmtId="3" fontId="12" fillId="0" borderId="0" xfId="2" applyNumberFormat="1" applyAlignment="1">
      <alignment horizontal="center"/>
    </xf>
    <xf numFmtId="3" fontId="12" fillId="0" borderId="0" xfId="2" applyNumberFormat="1" applyAlignment="1">
      <alignment horizontal="center"/>
    </xf>
    <xf numFmtId="3" fontId="12" fillId="0" borderId="0" xfId="2" applyNumberFormat="1" applyAlignment="1">
      <alignment horizontal="center"/>
    </xf>
    <xf numFmtId="3" fontId="12" fillId="0" borderId="0" xfId="2" applyNumberFormat="1" applyAlignment="1">
      <alignment horizontal="center"/>
    </xf>
    <xf numFmtId="0" fontId="12" fillId="0" borderId="0" xfId="2" applyNumberFormat="1" applyAlignment="1">
      <alignment horizontal="center"/>
    </xf>
    <xf numFmtId="0" fontId="12" fillId="0" borderId="0" xfId="2" applyNumberFormat="1" applyAlignment="1">
      <alignment horizontal="center"/>
    </xf>
    <xf numFmtId="0" fontId="12" fillId="0" borderId="0" xfId="2" applyNumberFormat="1" applyAlignment="1">
      <alignment horizontal="center"/>
    </xf>
    <xf numFmtId="0" fontId="0" fillId="0" borderId="0" xfId="0"/>
    <xf numFmtId="3" fontId="12" fillId="0" borderId="0" xfId="2" applyNumberFormat="1" applyAlignment="1">
      <alignment horizontal="center"/>
    </xf>
    <xf numFmtId="3" fontId="12" fillId="0" borderId="0" xfId="2" applyNumberFormat="1" applyAlignment="1">
      <alignment horizontal="center"/>
    </xf>
    <xf numFmtId="3" fontId="12" fillId="0" borderId="0" xfId="2" applyNumberFormat="1" applyAlignment="1">
      <alignment horizontal="center"/>
    </xf>
    <xf numFmtId="3" fontId="12" fillId="0" borderId="0" xfId="2" applyNumberFormat="1" applyAlignment="1">
      <alignment horizontal="center"/>
    </xf>
    <xf numFmtId="0" fontId="12" fillId="0" borderId="0" xfId="2" applyNumberFormat="1" applyAlignment="1">
      <alignment horizontal="center"/>
    </xf>
    <xf numFmtId="0" fontId="12" fillId="0" borderId="0" xfId="2" applyNumberFormat="1" applyAlignment="1">
      <alignment horizontal="center"/>
    </xf>
    <xf numFmtId="0" fontId="12" fillId="0" borderId="0" xfId="2" applyNumberFormat="1" applyAlignment="1">
      <alignment horizontal="center"/>
    </xf>
    <xf numFmtId="0" fontId="12" fillId="0" borderId="0" xfId="2" applyNumberFormat="1" applyAlignment="1">
      <alignment horizontal="center"/>
    </xf>
    <xf numFmtId="0" fontId="12" fillId="0" borderId="0" xfId="2" applyNumberFormat="1" applyAlignment="1">
      <alignment horizontal="center"/>
    </xf>
    <xf numFmtId="0" fontId="12" fillId="0" borderId="0" xfId="2" applyNumberFormat="1" applyAlignment="1">
      <alignment horizontal="center"/>
    </xf>
    <xf numFmtId="0" fontId="12" fillId="0" borderId="0" xfId="2" applyNumberFormat="1" applyAlignment="1">
      <alignment horizontal="center"/>
    </xf>
    <xf numFmtId="0" fontId="12" fillId="0" borderId="0" xfId="2" applyNumberFormat="1" applyAlignment="1">
      <alignment horizontal="center"/>
    </xf>
    <xf numFmtId="0" fontId="2" fillId="2" borderId="1" xfId="0" applyFont="1" applyFill="1" applyBorder="1"/>
    <xf numFmtId="0" fontId="12" fillId="0" borderId="0" xfId="2" applyNumberFormat="1" applyAlignment="1">
      <alignment horizontal="center"/>
    </xf>
    <xf numFmtId="0" fontId="12" fillId="0" borderId="0" xfId="2" applyNumberFormat="1" applyAlignment="1">
      <alignment horizontal="center"/>
    </xf>
    <xf numFmtId="0" fontId="12" fillId="0" borderId="0" xfId="2" applyNumberFormat="1" applyAlignment="1">
      <alignment horizontal="center"/>
    </xf>
    <xf numFmtId="0" fontId="12" fillId="0" borderId="0" xfId="2" applyNumberFormat="1" applyAlignment="1">
      <alignment horizontal="center"/>
    </xf>
    <xf numFmtId="0" fontId="13" fillId="2" borderId="1" xfId="0" applyFont="1" applyFill="1" applyBorder="1"/>
    <xf numFmtId="0" fontId="2" fillId="2" borderId="1" xfId="0" applyFont="1" applyFill="1" applyBorder="1"/>
    <xf numFmtId="0" fontId="2" fillId="2" borderId="17" xfId="0" applyFont="1" applyFill="1" applyBorder="1"/>
    <xf numFmtId="0" fontId="2" fillId="2" borderId="4" xfId="0" applyFont="1" applyFill="1" applyBorder="1"/>
    <xf numFmtId="0" fontId="2" fillId="2" borderId="18" xfId="0" applyFont="1" applyFill="1" applyBorder="1"/>
    <xf numFmtId="0" fontId="1" fillId="2" borderId="4" xfId="0" applyFont="1" applyFill="1" applyBorder="1" applyAlignment="1">
      <alignment horizontal="center" vertical="top"/>
    </xf>
    <xf numFmtId="0" fontId="1" fillId="2" borderId="31" xfId="0" applyFont="1" applyFill="1" applyBorder="1" applyAlignment="1">
      <alignment horizontal="center" vertical="top"/>
    </xf>
    <xf numFmtId="0" fontId="3" fillId="2" borderId="11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</cellXfs>
  <cellStyles count="3">
    <cellStyle name="Currency" xfId="1" builtinId="4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ichau/Documents/github/Monthly_Report_Cust/12.05/PNC%20Dashboard%20maio%20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ing"/>
      <sheetName val="Inventory 04302015 - 06012015 "/>
      <sheetName val="inventory 06012015-07012015 "/>
      <sheetName val="inventory 07012015-08032015"/>
      <sheetName val="inventory 08032015-09042015"/>
      <sheetName val="Inventory 09042015-10012015"/>
      <sheetName val="inventory 10012015 - 11012015"/>
      <sheetName val="inventory 11012015-12012015"/>
      <sheetName val="inventory 12012015-01042016"/>
      <sheetName val="Inventory 01012016-02012016 "/>
      <sheetName val="inventory 02012016-030126"/>
      <sheetName val="Inventory 03012016-04012016"/>
      <sheetName val="Inventory 04012016-05012016"/>
      <sheetName val="inventory 05012016-06012016 "/>
      <sheetName val="Inventory 06012016-07012016  "/>
      <sheetName val="inventory 07012016-08012016"/>
      <sheetName val="inventory 08012016-09012016"/>
      <sheetName val="Inventory 09012016-10012016"/>
      <sheetName val="inventory 10012016 - 11012016"/>
      <sheetName val="Inventory 11012016 - 12012016"/>
      <sheetName val="inventory 12012016 - 01012017 "/>
      <sheetName val="Inventory 01012017 02012017"/>
      <sheetName val="inventory 02012017 03012017"/>
      <sheetName val="inventory 03012017 04012017"/>
      <sheetName val="Inventory 04012017 05012017"/>
      <sheetName val="inventory 05012017 05312017"/>
      <sheetName val="inventory 06012017 07012017"/>
      <sheetName val="inventory 07012017 08012017 "/>
      <sheetName val="inventory 08012017 09012017"/>
      <sheetName val="inventory 09012017   10012017"/>
      <sheetName val="Inventory 10012017 11012017"/>
      <sheetName val="Inventory 11012017 12012017 "/>
      <sheetName val="inventory 12012017 01012018"/>
      <sheetName val="inventory 01012018 02012018"/>
      <sheetName val="inventory 02012018 03012018"/>
      <sheetName val="inventory 03012018 04012018"/>
      <sheetName val="Inventory 04012018 05012018"/>
      <sheetName val="Inventory 05012018 06012018"/>
      <sheetName val="Inventory 06012018 07012018"/>
      <sheetName val="inventory 07012018 08012018"/>
      <sheetName val="Inventory 08012018 09012018 "/>
      <sheetName val="Inventory 09012018 10012018"/>
      <sheetName val="Inventory 10012018 11012018"/>
      <sheetName val="Inventory 11012018 12012018"/>
      <sheetName val="Inventory 12.01.2018 01.01.2019"/>
      <sheetName val="Inventory 01.01.2019 02.01.2019"/>
      <sheetName val="Inventory 02.01.2019 03.01.2019"/>
      <sheetName val="Inventory 03.01.2019 04.01.2019"/>
      <sheetName val="Inventory 04.01.2019 05.01.2019"/>
      <sheetName val="Inventory 05.01.2019 06.01.2019"/>
      <sheetName val="Inventory 06.01.2019 07.01.2019"/>
      <sheetName val="Inventory 07.01.2019 08.01.2019"/>
      <sheetName val="Inventory 08.01.2019 09.01.2019"/>
      <sheetName val="Inventory 09.01.2019 10.01.2019"/>
      <sheetName val="Inventory 10.01.2019 11.01.2019"/>
      <sheetName val="Inventory 11.01.2019 12.01.2019"/>
      <sheetName val="Inventory 12.01.2019 01.01.2020"/>
      <sheetName val="Inventory 01.01.2020 02.01.2020"/>
      <sheetName val="Inventory 02.01.2020 03.01.2020"/>
      <sheetName val="Inventory 03.01.2020 04.01.2020"/>
      <sheetName val="Inventory 4.01.2020 5.01.202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>
        <row r="28">
          <cell r="D28">
            <v>29579</v>
          </cell>
        </row>
        <row r="31">
          <cell r="D31">
            <v>37954</v>
          </cell>
        </row>
      </sheetData>
      <sheetData sheetId="55">
        <row r="28">
          <cell r="D28">
            <v>27023</v>
          </cell>
        </row>
        <row r="31">
          <cell r="D31">
            <v>37453</v>
          </cell>
        </row>
      </sheetData>
      <sheetData sheetId="56">
        <row r="28">
          <cell r="D28">
            <v>26226</v>
          </cell>
        </row>
        <row r="31">
          <cell r="D31">
            <v>36378</v>
          </cell>
        </row>
      </sheetData>
      <sheetData sheetId="57">
        <row r="28">
          <cell r="D28">
            <v>26199</v>
          </cell>
        </row>
        <row r="31">
          <cell r="D31">
            <v>36249</v>
          </cell>
        </row>
      </sheetData>
      <sheetData sheetId="58"/>
      <sheetData sheetId="59"/>
      <sheetData sheetId="6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O59"/>
  <sheetViews>
    <sheetView tabSelected="1" zoomScale="90" zoomScaleNormal="90" workbookViewId="0">
      <selection activeCell="C18" sqref="C18"/>
    </sheetView>
  </sheetViews>
  <sheetFormatPr defaultColWidth="9.109375" defaultRowHeight="14.4" x14ac:dyDescent="0.3"/>
  <cols>
    <col min="1" max="1" width="26.109375" style="138" bestFit="1" customWidth="1"/>
    <col min="2" max="2" width="14.88671875" style="138" bestFit="1" customWidth="1"/>
    <col min="3" max="32" width="18.5546875" style="138" customWidth="1"/>
    <col min="33" max="37" width="14.88671875" style="138" customWidth="1"/>
    <col min="38" max="40" width="14.88671875" style="138" bestFit="1" customWidth="1"/>
    <col min="41" max="41" width="21.88671875" style="138" customWidth="1"/>
    <col min="42" max="42" width="18.44140625" style="138" customWidth="1"/>
    <col min="43" max="44" width="16.109375" style="138" customWidth="1"/>
    <col min="45" max="45" width="14.88671875" style="138" bestFit="1" customWidth="1"/>
    <col min="46" max="46" width="18.109375" style="138" customWidth="1"/>
    <col min="47" max="47" width="18" style="138" customWidth="1"/>
    <col min="48" max="48" width="15.109375" style="138" bestFit="1" customWidth="1"/>
    <col min="49" max="49" width="15" style="138" customWidth="1"/>
    <col min="50" max="50" width="17.88671875" style="138" customWidth="1"/>
    <col min="51" max="51" width="16.33203125" style="58" customWidth="1"/>
    <col min="52" max="52" width="15.33203125" style="138" customWidth="1"/>
    <col min="53" max="57" width="15.109375" style="138" bestFit="1" customWidth="1"/>
    <col min="58" max="58" width="14" style="15" bestFit="1" customWidth="1"/>
    <col min="59" max="60" width="15.109375" style="138" bestFit="1" customWidth="1"/>
    <col min="61" max="61" width="19" style="138" customWidth="1"/>
    <col min="62" max="62" width="20.44140625" style="15" customWidth="1"/>
    <col min="63" max="65" width="15" style="138" bestFit="1" customWidth="1"/>
    <col min="66" max="66" width="35" style="138" bestFit="1" customWidth="1"/>
    <col min="67" max="67" width="16.6640625" style="138" customWidth="1"/>
    <col min="68" max="16384" width="9.109375" style="138"/>
  </cols>
  <sheetData>
    <row r="1" spans="1:67" ht="18" thickBot="1" x14ac:dyDescent="0.35">
      <c r="A1" s="4" t="s">
        <v>21</v>
      </c>
      <c r="BN1" s="4" t="s">
        <v>21</v>
      </c>
    </row>
    <row r="2" spans="1:67" ht="21.6" thickBot="1" x14ac:dyDescent="0.4">
      <c r="A2" s="156" t="s">
        <v>338</v>
      </c>
      <c r="B2" s="151"/>
      <c r="C2" s="71"/>
      <c r="D2" s="71"/>
      <c r="E2" s="71"/>
      <c r="F2" s="71"/>
      <c r="G2" s="71">
        <v>2020</v>
      </c>
      <c r="H2" s="161">
        <v>2019</v>
      </c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1">
        <v>2018</v>
      </c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AF2" s="161">
        <v>2017</v>
      </c>
      <c r="AG2" s="162"/>
      <c r="AH2" s="162"/>
      <c r="AI2" s="162"/>
      <c r="AJ2" s="162"/>
      <c r="AK2" s="162"/>
      <c r="AL2" s="162"/>
      <c r="AM2" s="162"/>
      <c r="AN2" s="162"/>
      <c r="AO2" s="162"/>
      <c r="AP2" s="162"/>
      <c r="AQ2" s="162"/>
      <c r="AR2" s="161">
        <v>2016</v>
      </c>
      <c r="AS2" s="162"/>
      <c r="AT2" s="162"/>
      <c r="AU2" s="162"/>
      <c r="AV2" s="162"/>
      <c r="AW2" s="162"/>
      <c r="AX2" s="162"/>
      <c r="AY2" s="162"/>
      <c r="AZ2" s="162"/>
      <c r="BA2" s="162"/>
      <c r="BB2" s="162"/>
      <c r="BC2" s="162"/>
      <c r="BD2" s="161">
        <v>2015</v>
      </c>
      <c r="BE2" s="162"/>
      <c r="BF2" s="162"/>
      <c r="BG2" s="162"/>
      <c r="BH2" s="162"/>
      <c r="BI2" s="162"/>
      <c r="BJ2" s="162"/>
      <c r="BK2" s="162"/>
      <c r="BL2" s="162"/>
      <c r="BM2" s="162"/>
      <c r="BN2" s="162"/>
      <c r="BO2" s="162"/>
    </row>
    <row r="3" spans="1:67" ht="16.2" thickBot="1" x14ac:dyDescent="0.35">
      <c r="A3" s="157" t="s">
        <v>13</v>
      </c>
      <c r="B3" s="159" t="s">
        <v>14</v>
      </c>
      <c r="C3" s="99" t="s">
        <v>343</v>
      </c>
      <c r="D3" s="99" t="s">
        <v>5</v>
      </c>
      <c r="E3" s="99" t="s">
        <v>16</v>
      </c>
      <c r="F3" s="99" t="s">
        <v>96</v>
      </c>
      <c r="G3" s="99" t="s">
        <v>149</v>
      </c>
      <c r="H3" s="99" t="s">
        <v>12</v>
      </c>
      <c r="I3" s="99" t="s">
        <v>11</v>
      </c>
      <c r="J3" s="99" t="s">
        <v>51</v>
      </c>
      <c r="K3" s="99" t="s">
        <v>10</v>
      </c>
      <c r="L3" s="99" t="s">
        <v>308</v>
      </c>
      <c r="M3" s="99" t="s">
        <v>8</v>
      </c>
      <c r="N3" s="99" t="s">
        <v>7</v>
      </c>
      <c r="O3" s="99" t="s">
        <v>6</v>
      </c>
      <c r="P3" s="99" t="s">
        <v>5</v>
      </c>
      <c r="Q3" s="99" t="s">
        <v>16</v>
      </c>
      <c r="R3" s="99" t="s">
        <v>96</v>
      </c>
      <c r="S3" s="99" t="s">
        <v>149</v>
      </c>
      <c r="T3" s="99" t="s">
        <v>12</v>
      </c>
      <c r="U3" s="99" t="s">
        <v>11</v>
      </c>
      <c r="V3" s="99" t="s">
        <v>51</v>
      </c>
      <c r="W3" s="99" t="s">
        <v>10</v>
      </c>
      <c r="X3" s="99" t="s">
        <v>9</v>
      </c>
      <c r="Y3" s="99" t="s">
        <v>245</v>
      </c>
      <c r="Z3" s="99" t="s">
        <v>7</v>
      </c>
      <c r="AA3" s="99" t="s">
        <v>6</v>
      </c>
      <c r="AB3" s="99" t="s">
        <v>5</v>
      </c>
      <c r="AC3" s="99" t="s">
        <v>16</v>
      </c>
      <c r="AD3" s="99" t="s">
        <v>96</v>
      </c>
      <c r="AE3" s="99" t="s">
        <v>219</v>
      </c>
      <c r="AF3" s="99" t="s">
        <v>213</v>
      </c>
      <c r="AG3" s="99" t="s">
        <v>11</v>
      </c>
      <c r="AH3" s="99" t="s">
        <v>51</v>
      </c>
      <c r="AI3" s="99" t="s">
        <v>10</v>
      </c>
      <c r="AJ3" s="99" t="s">
        <v>192</v>
      </c>
      <c r="AK3" s="99" t="s">
        <v>8</v>
      </c>
      <c r="AL3" s="99" t="s">
        <v>7</v>
      </c>
      <c r="AM3" s="99" t="s">
        <v>6</v>
      </c>
      <c r="AN3" s="99" t="s">
        <v>5</v>
      </c>
      <c r="AO3" s="99" t="s">
        <v>16</v>
      </c>
      <c r="AP3" s="99" t="s">
        <v>165</v>
      </c>
      <c r="AQ3" s="2" t="s">
        <v>149</v>
      </c>
      <c r="AR3" s="2" t="s">
        <v>12</v>
      </c>
      <c r="AS3" s="1" t="s">
        <v>11</v>
      </c>
      <c r="AT3" s="1" t="s">
        <v>51</v>
      </c>
      <c r="AU3" s="1" t="s">
        <v>10</v>
      </c>
      <c r="AV3" s="1" t="s">
        <v>9</v>
      </c>
      <c r="AW3" s="1" t="s">
        <v>8</v>
      </c>
      <c r="AX3" s="1" t="s">
        <v>7</v>
      </c>
      <c r="AY3" s="1" t="s">
        <v>6</v>
      </c>
      <c r="AZ3" s="1" t="s">
        <v>5</v>
      </c>
      <c r="BA3" s="1" t="s">
        <v>16</v>
      </c>
      <c r="BB3" s="1" t="s">
        <v>96</v>
      </c>
      <c r="BC3" s="1" t="s">
        <v>83</v>
      </c>
      <c r="BD3" s="2" t="s">
        <v>12</v>
      </c>
      <c r="BE3" s="1" t="s">
        <v>11</v>
      </c>
      <c r="BF3" s="16" t="s">
        <v>51</v>
      </c>
      <c r="BG3" s="1" t="s">
        <v>10</v>
      </c>
      <c r="BH3" s="1" t="s">
        <v>9</v>
      </c>
      <c r="BI3" s="1" t="s">
        <v>8</v>
      </c>
      <c r="BJ3" s="1" t="s">
        <v>7</v>
      </c>
      <c r="BK3" s="1" t="s">
        <v>6</v>
      </c>
      <c r="BL3" s="1" t="s">
        <v>5</v>
      </c>
      <c r="BM3" s="21" t="s">
        <v>16</v>
      </c>
      <c r="BN3" s="157" t="s">
        <v>13</v>
      </c>
      <c r="BO3" s="159" t="s">
        <v>14</v>
      </c>
    </row>
    <row r="4" spans="1:67" ht="16.2" thickBot="1" x14ac:dyDescent="0.35">
      <c r="A4" s="158"/>
      <c r="B4" s="160"/>
      <c r="C4" s="99" t="s">
        <v>4</v>
      </c>
      <c r="D4" s="99" t="s">
        <v>4</v>
      </c>
      <c r="E4" s="99" t="s">
        <v>4</v>
      </c>
      <c r="F4" s="99" t="s">
        <v>4</v>
      </c>
      <c r="G4" s="99" t="s">
        <v>4</v>
      </c>
      <c r="H4" s="99" t="s">
        <v>4</v>
      </c>
      <c r="I4" s="99" t="s">
        <v>4</v>
      </c>
      <c r="J4" s="99" t="s">
        <v>4</v>
      </c>
      <c r="K4" s="99" t="s">
        <v>4</v>
      </c>
      <c r="L4" s="99" t="s">
        <v>4</v>
      </c>
      <c r="M4" s="99" t="s">
        <v>4</v>
      </c>
      <c r="N4" s="100" t="s">
        <v>4</v>
      </c>
      <c r="O4" s="100" t="s">
        <v>4</v>
      </c>
      <c r="P4" s="100" t="s">
        <v>4</v>
      </c>
      <c r="Q4" s="100" t="s">
        <v>4</v>
      </c>
      <c r="R4" s="100" t="s">
        <v>4</v>
      </c>
      <c r="S4" s="100" t="s">
        <v>4</v>
      </c>
      <c r="T4" s="100" t="s">
        <v>4</v>
      </c>
      <c r="U4" s="100" t="s">
        <v>4</v>
      </c>
      <c r="V4" s="100" t="s">
        <v>4</v>
      </c>
      <c r="W4" s="100" t="s">
        <v>4</v>
      </c>
      <c r="X4" s="100" t="s">
        <v>4</v>
      </c>
      <c r="Y4" s="100" t="s">
        <v>4</v>
      </c>
      <c r="Z4" s="100" t="s">
        <v>4</v>
      </c>
      <c r="AA4" s="100" t="s">
        <v>4</v>
      </c>
      <c r="AB4" s="100" t="s">
        <v>4</v>
      </c>
      <c r="AC4" s="100" t="s">
        <v>4</v>
      </c>
      <c r="AD4" s="100" t="s">
        <v>4</v>
      </c>
      <c r="AE4" s="100" t="s">
        <v>4</v>
      </c>
      <c r="AF4" s="100" t="s">
        <v>4</v>
      </c>
      <c r="AG4" s="100" t="s">
        <v>4</v>
      </c>
      <c r="AH4" s="100" t="s">
        <v>4</v>
      </c>
      <c r="AI4" s="100" t="s">
        <v>4</v>
      </c>
      <c r="AJ4" s="100" t="s">
        <v>4</v>
      </c>
      <c r="AK4" s="100" t="s">
        <v>4</v>
      </c>
      <c r="AL4" s="100" t="s">
        <v>4</v>
      </c>
      <c r="AM4" s="100" t="s">
        <v>4</v>
      </c>
      <c r="AN4" s="100" t="s">
        <v>4</v>
      </c>
      <c r="AO4" s="100" t="s">
        <v>4</v>
      </c>
      <c r="AP4" s="100" t="s">
        <v>4</v>
      </c>
      <c r="AQ4" s="55" t="s">
        <v>4</v>
      </c>
      <c r="AR4" s="55" t="s">
        <v>4</v>
      </c>
      <c r="AS4" s="55" t="s">
        <v>4</v>
      </c>
      <c r="AT4" s="55" t="s">
        <v>4</v>
      </c>
      <c r="AU4" s="55" t="s">
        <v>4</v>
      </c>
      <c r="AV4" s="55" t="s">
        <v>4</v>
      </c>
      <c r="AW4" s="55" t="s">
        <v>4</v>
      </c>
      <c r="AX4" s="55" t="s">
        <v>4</v>
      </c>
      <c r="AY4" s="55" t="s">
        <v>4</v>
      </c>
      <c r="AZ4" s="55" t="s">
        <v>4</v>
      </c>
      <c r="BA4" s="55" t="s">
        <v>4</v>
      </c>
      <c r="BB4" s="55" t="s">
        <v>4</v>
      </c>
      <c r="BC4" s="55" t="s">
        <v>4</v>
      </c>
      <c r="BD4" s="2" t="s">
        <v>4</v>
      </c>
      <c r="BE4" s="1" t="s">
        <v>4</v>
      </c>
      <c r="BF4" s="16" t="s">
        <v>4</v>
      </c>
      <c r="BG4" s="1" t="s">
        <v>4</v>
      </c>
      <c r="BH4" s="1" t="s">
        <v>4</v>
      </c>
      <c r="BI4" s="1" t="s">
        <v>4</v>
      </c>
      <c r="BJ4" s="16" t="s">
        <v>4</v>
      </c>
      <c r="BK4" s="1" t="s">
        <v>4</v>
      </c>
      <c r="BL4" s="1" t="s">
        <v>4</v>
      </c>
      <c r="BM4" s="1" t="s">
        <v>4</v>
      </c>
      <c r="BN4" s="158"/>
      <c r="BO4" s="160"/>
    </row>
    <row r="5" spans="1:67" ht="15.75" customHeight="1" thickBot="1" x14ac:dyDescent="0.35">
      <c r="A5" s="5" t="s">
        <v>52</v>
      </c>
      <c r="B5" s="3" t="s">
        <v>0</v>
      </c>
      <c r="C5" s="138">
        <v>434197.25000001292</v>
      </c>
      <c r="D5" s="138">
        <v>457882.17000002548</v>
      </c>
      <c r="E5" s="138">
        <v>458949.08000002458</v>
      </c>
      <c r="F5" s="138">
        <v>470109.73000001762</v>
      </c>
      <c r="G5" s="35">
        <v>472150.52000002225</v>
      </c>
      <c r="H5" s="35">
        <v>498799.58000000205</v>
      </c>
      <c r="I5" s="35">
        <v>496158.41000002209</v>
      </c>
      <c r="J5" s="35">
        <v>494627.08000002638</v>
      </c>
      <c r="K5" s="35">
        <v>487571.31000001472</v>
      </c>
      <c r="L5" s="35">
        <v>494809.37000001856</v>
      </c>
      <c r="M5" s="35">
        <v>488731.26000004041</v>
      </c>
      <c r="N5" s="35">
        <v>498193.51</v>
      </c>
      <c r="O5" s="35">
        <v>486398.58999999892</v>
      </c>
      <c r="P5" s="35">
        <v>510287.08999999112</v>
      </c>
      <c r="Q5" s="35">
        <v>498818.85999999318</v>
      </c>
      <c r="R5" s="35">
        <v>498693.77999999264</v>
      </c>
      <c r="S5" s="35">
        <v>509324.27999998478</v>
      </c>
      <c r="T5" s="35">
        <v>469424.35999998235</v>
      </c>
      <c r="U5" s="35">
        <v>523250.22</v>
      </c>
      <c r="V5" s="35">
        <v>528705.48</v>
      </c>
      <c r="W5" s="35">
        <v>527137.19999999995</v>
      </c>
      <c r="X5" s="35">
        <v>529793.65</v>
      </c>
      <c r="Y5" s="35">
        <v>536897.41999999445</v>
      </c>
      <c r="Z5" s="35">
        <v>537355.93999999994</v>
      </c>
      <c r="AA5" s="35">
        <v>539768.48</v>
      </c>
      <c r="AB5" s="35">
        <v>541831.72</v>
      </c>
      <c r="AC5" s="35">
        <v>544204.66</v>
      </c>
      <c r="AD5" s="35">
        <v>543913.57999999996</v>
      </c>
      <c r="AE5" s="35">
        <v>541458.23000000231</v>
      </c>
      <c r="AF5" s="35">
        <v>573404.08000002592</v>
      </c>
      <c r="AG5" s="35">
        <v>589643.15</v>
      </c>
      <c r="AH5" s="35">
        <v>583473.07999999996</v>
      </c>
      <c r="AI5" s="35">
        <v>591576.64999994193</v>
      </c>
      <c r="AJ5" s="35">
        <v>590518.31000000006</v>
      </c>
      <c r="AK5" s="116">
        <v>594596.87999996042</v>
      </c>
      <c r="AL5" s="36">
        <v>609784.46</v>
      </c>
      <c r="AM5" s="115">
        <v>609946.01999995043</v>
      </c>
      <c r="AN5" s="36">
        <v>595282.76999995438</v>
      </c>
      <c r="AO5" s="108">
        <v>633565.75999995018</v>
      </c>
      <c r="AP5" s="36">
        <v>647797.01</v>
      </c>
      <c r="AQ5" s="105">
        <v>666159.64999995893</v>
      </c>
      <c r="AR5" s="36">
        <v>674610.91999998665</v>
      </c>
      <c r="AS5" s="60">
        <v>692323.22</v>
      </c>
      <c r="AT5" s="34">
        <v>705918.10000001569</v>
      </c>
      <c r="AU5" s="63">
        <v>718765.97000001557</v>
      </c>
      <c r="AV5" s="34">
        <v>726977.89</v>
      </c>
      <c r="AW5" s="63">
        <v>755454.17</v>
      </c>
      <c r="AX5" s="35">
        <v>777890.44</v>
      </c>
      <c r="AY5" s="60">
        <v>809187.51</v>
      </c>
      <c r="AZ5" s="34">
        <v>737075.98000005283</v>
      </c>
      <c r="BA5" s="59">
        <v>737235.01</v>
      </c>
      <c r="BB5" s="35">
        <v>793497.77000007872</v>
      </c>
      <c r="BC5" s="56">
        <v>802401.34000006004</v>
      </c>
      <c r="BD5" s="50">
        <v>972612.92000009352</v>
      </c>
      <c r="BE5" s="48">
        <v>928940.48000010592</v>
      </c>
      <c r="BF5" s="39">
        <v>861163.42</v>
      </c>
      <c r="BG5" s="30">
        <v>840921.43</v>
      </c>
      <c r="BH5" s="35">
        <v>876404.8400001073</v>
      </c>
      <c r="BI5" s="30">
        <v>937425.2500001</v>
      </c>
      <c r="BJ5" s="19">
        <v>881789.10000008123</v>
      </c>
      <c r="BK5" s="7">
        <v>921397.6099999533</v>
      </c>
      <c r="BL5" s="20">
        <v>931499.95999999822</v>
      </c>
      <c r="BM5" s="7">
        <v>944240.78000000527</v>
      </c>
      <c r="BN5" s="5" t="s">
        <v>52</v>
      </c>
      <c r="BO5" s="3" t="s">
        <v>0</v>
      </c>
    </row>
    <row r="6" spans="1:67" ht="15" thickBot="1" x14ac:dyDescent="0.35">
      <c r="A6" s="5"/>
      <c r="B6" s="3" t="s">
        <v>1</v>
      </c>
      <c r="C6" s="138">
        <v>858987.62999994808</v>
      </c>
      <c r="D6" s="138">
        <v>896126.22000000696</v>
      </c>
      <c r="E6" s="138">
        <v>889932.45000001276</v>
      </c>
      <c r="F6" s="138">
        <v>935550.45000001334</v>
      </c>
      <c r="G6" s="35">
        <v>938518.61000001465</v>
      </c>
      <c r="H6" s="35">
        <v>934071.8900000127</v>
      </c>
      <c r="I6" s="35">
        <v>992058.25000000419</v>
      </c>
      <c r="J6" s="35">
        <v>980358.33000000764</v>
      </c>
      <c r="K6" s="35">
        <v>1015389.5100000096</v>
      </c>
      <c r="L6" s="35">
        <v>963895.83000001707</v>
      </c>
      <c r="M6" s="35">
        <v>940211.41000000073</v>
      </c>
      <c r="N6" s="35">
        <v>982222.95000000065</v>
      </c>
      <c r="O6" s="35">
        <v>909234.26000001736</v>
      </c>
      <c r="P6" s="35">
        <v>978757.58000000683</v>
      </c>
      <c r="Q6" s="35">
        <v>948750.35000002303</v>
      </c>
      <c r="R6" s="35">
        <v>943759.74</v>
      </c>
      <c r="S6" s="35">
        <v>967595.9500000081</v>
      </c>
      <c r="T6" s="35">
        <v>937554.12000001012</v>
      </c>
      <c r="U6" s="35">
        <v>961849.28</v>
      </c>
      <c r="V6" s="35">
        <v>988940.73</v>
      </c>
      <c r="W6" s="35">
        <v>934626.05</v>
      </c>
      <c r="X6" s="35">
        <v>957401.08</v>
      </c>
      <c r="Y6" s="35">
        <v>963809.46000000264</v>
      </c>
      <c r="Z6" s="35">
        <v>997011.72</v>
      </c>
      <c r="AA6" s="35">
        <v>978032.11</v>
      </c>
      <c r="AB6" s="35">
        <v>965936.79</v>
      </c>
      <c r="AC6" s="35">
        <v>972816.21</v>
      </c>
      <c r="AD6" s="35">
        <v>944739.38</v>
      </c>
      <c r="AE6" s="35">
        <v>947992.86999999511</v>
      </c>
      <c r="AF6" s="35">
        <v>951098.49999999884</v>
      </c>
      <c r="AG6" s="35">
        <v>940697.97</v>
      </c>
      <c r="AH6" s="35">
        <v>912935.71</v>
      </c>
      <c r="AI6" s="35">
        <v>904632.63000003016</v>
      </c>
      <c r="AJ6" s="36">
        <v>919158.55</v>
      </c>
      <c r="AK6" s="115">
        <v>972193.27000001597</v>
      </c>
      <c r="AL6" s="36">
        <v>918600.39</v>
      </c>
      <c r="AM6" s="115">
        <v>928636.81999999704</v>
      </c>
      <c r="AN6" s="36">
        <v>903276.28999995079</v>
      </c>
      <c r="AO6" s="108">
        <v>903981.00000001432</v>
      </c>
      <c r="AP6" s="36">
        <v>909395.52</v>
      </c>
      <c r="AQ6" s="105">
        <v>906010.5800000208</v>
      </c>
      <c r="AR6" s="36">
        <v>884635.12</v>
      </c>
      <c r="AS6" s="60">
        <v>906449.46</v>
      </c>
      <c r="AT6" s="34">
        <v>912248.92000000982</v>
      </c>
      <c r="AU6" s="63">
        <v>937682.32000001089</v>
      </c>
      <c r="AV6" s="34">
        <v>915312.03</v>
      </c>
      <c r="AW6" s="63">
        <v>899640.82</v>
      </c>
      <c r="AX6" s="35">
        <v>916159.39999999723</v>
      </c>
      <c r="AY6" s="60">
        <v>905858.95</v>
      </c>
      <c r="AZ6" s="34">
        <v>899129.8599999937</v>
      </c>
      <c r="BA6" s="59">
        <v>883788.22</v>
      </c>
      <c r="BB6" s="35">
        <v>876406.95999999892</v>
      </c>
      <c r="BC6" s="56">
        <v>855975.56000000122</v>
      </c>
      <c r="BD6" s="50">
        <v>943329.83999999973</v>
      </c>
      <c r="BE6" s="45">
        <v>936528.49999999139</v>
      </c>
      <c r="BF6" s="38">
        <v>952589.62</v>
      </c>
      <c r="BG6" s="31">
        <v>840327.14</v>
      </c>
      <c r="BH6" s="35">
        <v>862827.38999999862</v>
      </c>
      <c r="BI6" s="30">
        <v>947119.65</v>
      </c>
      <c r="BJ6" s="19">
        <v>829264.91999999678</v>
      </c>
      <c r="BK6" s="7">
        <v>897541.27000000386</v>
      </c>
      <c r="BL6" s="20">
        <v>884490.35000001942</v>
      </c>
      <c r="BM6" s="7">
        <v>868498.52000002412</v>
      </c>
      <c r="BN6" s="5"/>
      <c r="BO6" s="3" t="s">
        <v>1</v>
      </c>
    </row>
    <row r="7" spans="1:67" ht="15" thickBot="1" x14ac:dyDescent="0.35">
      <c r="A7" s="5"/>
      <c r="B7" s="3" t="s">
        <v>2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35">
        <v>0</v>
      </c>
      <c r="J7" s="35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35">
        <v>0</v>
      </c>
      <c r="R7" s="35">
        <v>0</v>
      </c>
      <c r="S7" s="35">
        <v>0</v>
      </c>
      <c r="T7" s="35">
        <v>0</v>
      </c>
      <c r="U7" s="35">
        <v>0</v>
      </c>
      <c r="V7" s="35">
        <v>0</v>
      </c>
      <c r="W7" s="35">
        <v>0</v>
      </c>
      <c r="X7" s="35">
        <v>0</v>
      </c>
      <c r="Y7" s="35">
        <v>0</v>
      </c>
      <c r="Z7" s="35">
        <v>0</v>
      </c>
      <c r="AA7" s="35">
        <v>0</v>
      </c>
      <c r="AB7" s="35">
        <v>0</v>
      </c>
      <c r="AC7" s="35">
        <v>0</v>
      </c>
      <c r="AD7" s="35">
        <v>0</v>
      </c>
      <c r="AE7" s="35">
        <v>18.48</v>
      </c>
      <c r="AF7" s="35">
        <v>24.65</v>
      </c>
      <c r="AG7" s="35">
        <v>30.84</v>
      </c>
      <c r="AH7" s="35">
        <v>58.59</v>
      </c>
      <c r="AI7" s="35">
        <v>120.25000000000001</v>
      </c>
      <c r="AJ7" s="36">
        <v>129.28</v>
      </c>
      <c r="AK7" s="115">
        <v>144.96</v>
      </c>
      <c r="AL7" s="36">
        <v>150.97999999999999</v>
      </c>
      <c r="AM7" s="115">
        <v>182.09</v>
      </c>
      <c r="AN7" s="36">
        <v>439.63999999999987</v>
      </c>
      <c r="AO7" s="108">
        <v>652.59000000000015</v>
      </c>
      <c r="AP7" s="36">
        <v>1206.0899999999999</v>
      </c>
      <c r="AQ7" s="105">
        <v>1461.8200000000008</v>
      </c>
      <c r="AR7" s="36">
        <v>1575.13</v>
      </c>
      <c r="AS7" s="60">
        <v>1954.19</v>
      </c>
      <c r="AT7" s="34">
        <v>2734.1699999999928</v>
      </c>
      <c r="AU7" s="63">
        <v>3376.3599999999897</v>
      </c>
      <c r="AV7" s="34">
        <v>4195.95</v>
      </c>
      <c r="AW7" s="63">
        <v>5178.07</v>
      </c>
      <c r="AX7" s="35">
        <v>5901.2099999999236</v>
      </c>
      <c r="AY7" s="60">
        <v>7206.07</v>
      </c>
      <c r="AZ7" s="34">
        <v>8752.0400000000045</v>
      </c>
      <c r="BA7" s="59">
        <v>9378.6</v>
      </c>
      <c r="BB7" s="50">
        <v>10938.779999999791</v>
      </c>
      <c r="BC7" s="57">
        <v>0</v>
      </c>
      <c r="BD7" s="50">
        <v>12675.249999999587</v>
      </c>
      <c r="BE7" s="45">
        <v>14331.649999999569</v>
      </c>
      <c r="BF7" s="38">
        <v>15698.2</v>
      </c>
      <c r="BG7" s="31">
        <v>16754.099999999999</v>
      </c>
      <c r="BH7" s="35">
        <v>18453.989999999201</v>
      </c>
      <c r="BI7" s="31">
        <v>20090.029999998871</v>
      </c>
      <c r="BJ7" s="19">
        <v>20686.739999998797</v>
      </c>
      <c r="BK7" s="7">
        <v>22261.320000000211</v>
      </c>
      <c r="BL7" s="20">
        <v>23795.820000000291</v>
      </c>
      <c r="BM7" s="7">
        <v>24597.870000000192</v>
      </c>
      <c r="BN7" s="5"/>
      <c r="BO7" s="3" t="s">
        <v>2</v>
      </c>
    </row>
    <row r="8" spans="1:67" ht="15" thickBot="1" x14ac:dyDescent="0.35">
      <c r="A8" s="5"/>
      <c r="B8" s="3" t="s">
        <v>24</v>
      </c>
      <c r="C8" s="138">
        <v>25354.509999999686</v>
      </c>
      <c r="D8" s="138">
        <v>32708.340000001404</v>
      </c>
      <c r="E8" s="138">
        <v>32577.630000001449</v>
      </c>
      <c r="F8" s="138">
        <v>27051.370000002709</v>
      </c>
      <c r="G8" s="35">
        <v>27630.460000002717</v>
      </c>
      <c r="H8" s="35">
        <v>82699.629999985191</v>
      </c>
      <c r="I8" s="35">
        <v>35286.760000001232</v>
      </c>
      <c r="J8" s="35">
        <v>38757.720000005</v>
      </c>
      <c r="K8" s="35">
        <v>40786.780000002218</v>
      </c>
      <c r="L8" s="35">
        <v>40318.030000005383</v>
      </c>
      <c r="M8" s="35">
        <v>48501.110000007793</v>
      </c>
      <c r="N8" s="35">
        <v>46141.510000003334</v>
      </c>
      <c r="O8" s="35">
        <v>45542.960000002837</v>
      </c>
      <c r="P8" s="35">
        <v>48680.970000003006</v>
      </c>
      <c r="Q8" s="35">
        <v>47879.880000003308</v>
      </c>
      <c r="R8" s="35">
        <v>48344.500000003165</v>
      </c>
      <c r="S8" s="35">
        <v>49249.040000003122</v>
      </c>
      <c r="T8" s="35">
        <v>48819.41</v>
      </c>
      <c r="U8" s="35">
        <v>50656.01</v>
      </c>
      <c r="V8" s="35">
        <v>58798.53</v>
      </c>
      <c r="W8" s="35">
        <v>57817.45</v>
      </c>
      <c r="X8" s="35">
        <v>63542.720000000001</v>
      </c>
      <c r="Y8" s="35">
        <v>63434.960000002917</v>
      </c>
      <c r="Z8" s="35">
        <v>63521.45</v>
      </c>
      <c r="AA8" s="35">
        <v>63877.89</v>
      </c>
      <c r="AB8" s="35">
        <v>63580.04</v>
      </c>
      <c r="AC8" s="35">
        <v>64070.46</v>
      </c>
      <c r="AD8" s="35">
        <v>64568.24</v>
      </c>
      <c r="AE8" s="35">
        <v>65397.820000001426</v>
      </c>
      <c r="AF8" s="35">
        <v>69492.730000005482</v>
      </c>
      <c r="AG8" s="35">
        <v>67182.539999995002</v>
      </c>
      <c r="AH8" s="35">
        <v>61045.239999998113</v>
      </c>
      <c r="AI8" s="35">
        <v>57568.359999996275</v>
      </c>
      <c r="AJ8" s="36">
        <v>57514.07</v>
      </c>
      <c r="AK8" s="115">
        <v>58795.589999997996</v>
      </c>
      <c r="AL8" s="36">
        <v>57210.77</v>
      </c>
      <c r="AM8" s="115">
        <v>57894.449999997909</v>
      </c>
      <c r="AN8" s="36">
        <v>58700.209999997365</v>
      </c>
      <c r="AO8" s="108">
        <v>58122.989999997437</v>
      </c>
      <c r="AP8" s="36">
        <v>58309.3</v>
      </c>
      <c r="AQ8" s="105">
        <v>61780.769999997814</v>
      </c>
      <c r="AR8" s="36">
        <v>56423.65</v>
      </c>
      <c r="AS8" s="60">
        <v>57509.1</v>
      </c>
      <c r="AT8" s="34">
        <v>56691.629999997465</v>
      </c>
      <c r="AU8" s="63">
        <v>55071.599999998478</v>
      </c>
      <c r="AV8" s="34">
        <v>54575.49</v>
      </c>
      <c r="AW8" s="63">
        <v>52584.06</v>
      </c>
      <c r="AX8" s="35">
        <v>58206.289999998065</v>
      </c>
      <c r="AY8" s="60">
        <v>56681.84</v>
      </c>
      <c r="AZ8" s="34">
        <v>58013.31999999861</v>
      </c>
      <c r="BA8" s="59">
        <v>57554.879999999997</v>
      </c>
      <c r="BB8" s="35">
        <v>57773.009999998787</v>
      </c>
      <c r="BC8" s="56">
        <v>61334.949999985212</v>
      </c>
      <c r="BD8" s="50">
        <f>(64805.28-131.92)</f>
        <v>64673.36</v>
      </c>
      <c r="BE8" s="45">
        <v>53862.739999998754</v>
      </c>
      <c r="BF8" s="38">
        <v>52061.99</v>
      </c>
      <c r="BG8" s="31">
        <v>43997.35</v>
      </c>
      <c r="BH8" s="35">
        <v>45320.829999997841</v>
      </c>
      <c r="BI8" s="31">
        <v>48496.659999999385</v>
      </c>
      <c r="BJ8" s="19">
        <v>45506.489999999903</v>
      </c>
      <c r="BK8" s="7">
        <v>49373.809999999801</v>
      </c>
      <c r="BL8" s="20">
        <v>48633.189999999769</v>
      </c>
      <c r="BM8" s="7">
        <v>57646.649999999034</v>
      </c>
      <c r="BN8" s="5"/>
      <c r="BO8" s="3" t="s">
        <v>24</v>
      </c>
    </row>
    <row r="9" spans="1:67" ht="15" thickBot="1" x14ac:dyDescent="0.35">
      <c r="A9" s="5"/>
      <c r="B9" s="3" t="s">
        <v>142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35">
        <v>0</v>
      </c>
      <c r="J9" s="35">
        <v>0</v>
      </c>
      <c r="K9" s="35">
        <v>0</v>
      </c>
      <c r="L9" s="35">
        <v>0</v>
      </c>
      <c r="M9" s="35">
        <v>0</v>
      </c>
      <c r="N9" s="35">
        <v>0</v>
      </c>
      <c r="O9" s="35">
        <v>34.730000000000004</v>
      </c>
      <c r="P9" s="35">
        <v>34.730000000000004</v>
      </c>
      <c r="Q9" s="35">
        <v>34.730000000000004</v>
      </c>
      <c r="R9" s="35">
        <v>34.730000000000004</v>
      </c>
      <c r="S9" s="35">
        <v>34.730000000000004</v>
      </c>
      <c r="T9" s="35">
        <v>34.730000000000004</v>
      </c>
      <c r="U9" s="35">
        <v>34.729999999999997</v>
      </c>
      <c r="V9" s="35">
        <v>34.729999999999997</v>
      </c>
      <c r="W9" s="35">
        <v>43.19</v>
      </c>
      <c r="X9" s="35">
        <v>26.27</v>
      </c>
      <c r="Y9" s="35">
        <v>26.270000000000003</v>
      </c>
      <c r="Z9" s="35">
        <v>26.270000000000003</v>
      </c>
      <c r="AA9" s="35">
        <v>26.27</v>
      </c>
      <c r="AB9" s="35">
        <v>-70.290000000000006</v>
      </c>
      <c r="AC9" s="35">
        <v>31.95</v>
      </c>
      <c r="AD9" s="35">
        <v>31.95</v>
      </c>
      <c r="AE9" s="35">
        <v>31.950000000000003</v>
      </c>
      <c r="AF9" s="35">
        <v>-5.22</v>
      </c>
      <c r="AG9" s="35">
        <v>52.49</v>
      </c>
      <c r="AH9" s="35">
        <v>24.34</v>
      </c>
      <c r="AI9" s="35">
        <v>12.96</v>
      </c>
      <c r="AJ9" s="36">
        <v>12.96</v>
      </c>
      <c r="AK9" s="115">
        <v>12.959999999999999</v>
      </c>
      <c r="AL9" s="36">
        <v>12.96</v>
      </c>
      <c r="AM9" s="115">
        <v>12.959999999999999</v>
      </c>
      <c r="AN9" s="36">
        <v>12.26</v>
      </c>
      <c r="AO9" s="108">
        <v>12.959999999999999</v>
      </c>
      <c r="AP9" s="36">
        <v>13.66</v>
      </c>
      <c r="AQ9" s="105">
        <v>25.18</v>
      </c>
      <c r="AR9" s="36">
        <v>9.69</v>
      </c>
      <c r="AS9" s="60">
        <v>16.04</v>
      </c>
      <c r="AT9" s="34"/>
      <c r="AU9" s="63"/>
      <c r="AV9" s="34"/>
      <c r="AW9" s="63"/>
      <c r="AX9" s="35"/>
      <c r="AY9" s="60"/>
      <c r="AZ9" s="34"/>
      <c r="BA9" s="59"/>
      <c r="BB9" s="35"/>
      <c r="BC9" s="56"/>
      <c r="BD9" s="50"/>
      <c r="BE9" s="45"/>
      <c r="BF9" s="38"/>
      <c r="BG9" s="31"/>
      <c r="BH9" s="35"/>
      <c r="BI9" s="31"/>
      <c r="BJ9" s="19"/>
      <c r="BK9" s="7"/>
      <c r="BL9" s="20"/>
      <c r="BM9" s="7"/>
      <c r="BN9" s="5"/>
      <c r="BO9" s="3" t="s">
        <v>142</v>
      </c>
    </row>
    <row r="10" spans="1:67" ht="15" thickBot="1" x14ac:dyDescent="0.35">
      <c r="A10" s="5" t="s">
        <v>17</v>
      </c>
      <c r="B10" s="3" t="s">
        <v>0</v>
      </c>
      <c r="C10" s="138">
        <v>2172.6999999999935</v>
      </c>
      <c r="D10" s="138">
        <v>7.3199999999999967</v>
      </c>
      <c r="E10" s="138">
        <v>-6.4799999999999951</v>
      </c>
      <c r="F10" s="138">
        <v>8135.3099999999504</v>
      </c>
      <c r="G10" s="35">
        <v>6924.3300000000318</v>
      </c>
      <c r="H10" s="35">
        <v>12313.180000000077</v>
      </c>
      <c r="I10" s="35">
        <v>2294.8999999999996</v>
      </c>
      <c r="J10" s="35">
        <v>5276.8099999999813</v>
      </c>
      <c r="K10" s="35">
        <v>2590.7499999999977</v>
      </c>
      <c r="L10" s="35">
        <v>3126.8300000000031</v>
      </c>
      <c r="M10" s="35">
        <v>9484.5200000000114</v>
      </c>
      <c r="N10" s="35">
        <v>10684.979999999978</v>
      </c>
      <c r="O10" s="35">
        <v>2840.9900000000093</v>
      </c>
      <c r="P10" s="35">
        <v>0.13</v>
      </c>
      <c r="Q10" s="35">
        <v>6636.3000000000256</v>
      </c>
      <c r="R10" s="35">
        <v>1115.639999999999</v>
      </c>
      <c r="S10" s="35">
        <v>14009.280000000012</v>
      </c>
      <c r="T10" s="35">
        <v>18994.209999999985</v>
      </c>
      <c r="U10" s="35">
        <v>3714.72</v>
      </c>
      <c r="V10" s="35">
        <v>12377.57</v>
      </c>
      <c r="W10" s="35">
        <v>12710.78</v>
      </c>
      <c r="X10" s="35">
        <v>3188.91</v>
      </c>
      <c r="Y10" s="35">
        <v>3011.0800000000013</v>
      </c>
      <c r="Z10" s="35">
        <v>9869.4</v>
      </c>
      <c r="AA10" s="35">
        <v>6026.24</v>
      </c>
      <c r="AB10" s="35">
        <v>61.58</v>
      </c>
      <c r="AC10" s="35">
        <v>59.26</v>
      </c>
      <c r="AD10" s="35">
        <v>10170.56</v>
      </c>
      <c r="AE10" s="35">
        <v>18934.130000000088</v>
      </c>
      <c r="AF10" s="35">
        <v>22773.599999999999</v>
      </c>
      <c r="AG10" s="35">
        <v>3396.51</v>
      </c>
      <c r="AH10" s="35">
        <v>15379.72</v>
      </c>
      <c r="AI10" s="35">
        <v>16997.869999999923</v>
      </c>
      <c r="AJ10" s="36">
        <v>4795.53</v>
      </c>
      <c r="AK10" s="115">
        <v>799.11000000000013</v>
      </c>
      <c r="AL10" s="36">
        <v>14222.41</v>
      </c>
      <c r="AM10" s="115">
        <v>2047.4999999999966</v>
      </c>
      <c r="AN10" s="36">
        <v>-39.629999999999988</v>
      </c>
      <c r="AO10" s="108">
        <v>384.19999999999959</v>
      </c>
      <c r="AP10" s="36">
        <v>12147.58</v>
      </c>
      <c r="AQ10" s="105">
        <v>13966.45000000003</v>
      </c>
      <c r="AR10" s="36">
        <v>18129.34</v>
      </c>
      <c r="AS10" s="60">
        <v>9842.84</v>
      </c>
      <c r="AT10" s="34">
        <v>8655.4600000000355</v>
      </c>
      <c r="AU10" s="63">
        <v>10976.059999999927</v>
      </c>
      <c r="AV10" s="34">
        <v>5768.16</v>
      </c>
      <c r="AW10" s="63">
        <v>652.34</v>
      </c>
      <c r="AX10" s="35">
        <v>13107.720000000061</v>
      </c>
      <c r="AY10" s="60">
        <v>8355.58</v>
      </c>
      <c r="AZ10" s="34">
        <v>155.16</v>
      </c>
      <c r="BA10" s="59">
        <v>6773.79</v>
      </c>
      <c r="BB10" s="35">
        <v>1197.2000000000032</v>
      </c>
      <c r="BC10" s="56">
        <v>20334.29999999977</v>
      </c>
      <c r="BD10" s="50">
        <v>31753.400000000016</v>
      </c>
      <c r="BE10" s="45">
        <v>4801.6800000000139</v>
      </c>
      <c r="BF10" s="38">
        <v>6191.39</v>
      </c>
      <c r="BG10" s="31">
        <v>12268.14</v>
      </c>
      <c r="BH10" s="35">
        <v>1686.7800000000002</v>
      </c>
      <c r="BI10" s="31">
        <v>5.5299999999999994</v>
      </c>
      <c r="BJ10" s="19">
        <v>9926.1299999999828</v>
      </c>
      <c r="BK10" s="7">
        <v>19210.03</v>
      </c>
      <c r="BL10" s="20">
        <v>0</v>
      </c>
      <c r="BM10" s="7">
        <v>7869.3400000000511</v>
      </c>
      <c r="BN10" s="5" t="s">
        <v>17</v>
      </c>
      <c r="BO10" s="3" t="s">
        <v>0</v>
      </c>
    </row>
    <row r="11" spans="1:67" ht="15" thickBot="1" x14ac:dyDescent="0.35">
      <c r="A11" s="5"/>
      <c r="B11" s="3" t="s">
        <v>1</v>
      </c>
      <c r="C11" s="138">
        <v>687.09999999999991</v>
      </c>
      <c r="D11" s="138">
        <v>-2.86</v>
      </c>
      <c r="E11" s="138">
        <v>115.65999999999997</v>
      </c>
      <c r="F11" s="138">
        <v>24475.970000000107</v>
      </c>
      <c r="G11" s="35">
        <v>6864.4799999999886</v>
      </c>
      <c r="H11" s="35">
        <v>33152.920000000071</v>
      </c>
      <c r="I11" s="35">
        <v>904.35000000000036</v>
      </c>
      <c r="J11" s="35">
        <v>9064.0299999999879</v>
      </c>
      <c r="K11" s="35">
        <v>2910.8199999999988</v>
      </c>
      <c r="L11" s="35">
        <v>7041.0700000000079</v>
      </c>
      <c r="M11" s="35">
        <v>324.99</v>
      </c>
      <c r="N11" s="35">
        <v>6853.8300000000036</v>
      </c>
      <c r="O11" s="35">
        <v>504.40000000000003</v>
      </c>
      <c r="P11" s="35">
        <v>199.29000000000008</v>
      </c>
      <c r="Q11" s="35">
        <v>8587.5500000000156</v>
      </c>
      <c r="R11" s="35">
        <v>2088.7400000000011</v>
      </c>
      <c r="S11" s="35">
        <v>9880.8499999999822</v>
      </c>
      <c r="T11" s="35">
        <v>31049.37999999991</v>
      </c>
      <c r="U11" s="35">
        <v>2410.65</v>
      </c>
      <c r="V11" s="35">
        <v>9677.25</v>
      </c>
      <c r="W11" s="35">
        <v>9526.93</v>
      </c>
      <c r="X11" s="35">
        <v>5176.3999999999996</v>
      </c>
      <c r="Y11" s="35">
        <v>475.87000000000006</v>
      </c>
      <c r="Z11" s="35">
        <v>2785.9100000000012</v>
      </c>
      <c r="AA11" s="35">
        <v>4692.4399999999996</v>
      </c>
      <c r="AB11" s="35">
        <v>239.85</v>
      </c>
      <c r="AC11" s="35">
        <v>73.11</v>
      </c>
      <c r="AD11" s="35">
        <v>8999.57</v>
      </c>
      <c r="AE11" s="35">
        <v>13616.610000000097</v>
      </c>
      <c r="AF11" s="35">
        <v>26082.3</v>
      </c>
      <c r="AG11" s="35">
        <v>568.89</v>
      </c>
      <c r="AH11" s="35">
        <v>11941.39</v>
      </c>
      <c r="AI11" s="35">
        <v>9598.5700000000106</v>
      </c>
      <c r="AJ11" s="36">
        <v>5146.75</v>
      </c>
      <c r="AK11" s="115">
        <v>41.28</v>
      </c>
      <c r="AL11" s="36">
        <v>7436.78</v>
      </c>
      <c r="AM11" s="115">
        <v>481.97</v>
      </c>
      <c r="AN11" s="36">
        <v>2.6900000000000004</v>
      </c>
      <c r="AO11" s="108">
        <v>643.49999999999966</v>
      </c>
      <c r="AP11" s="36">
        <v>9139.02</v>
      </c>
      <c r="AQ11" s="105">
        <v>14427.93</v>
      </c>
      <c r="AR11" s="36">
        <v>17528.61</v>
      </c>
      <c r="AS11" s="60">
        <v>8175.23</v>
      </c>
      <c r="AT11" s="34">
        <v>11524.079999999994</v>
      </c>
      <c r="AU11" s="63">
        <v>7479.1799999999912</v>
      </c>
      <c r="AV11" s="34">
        <v>6267.04</v>
      </c>
      <c r="AW11" s="63">
        <v>144.32</v>
      </c>
      <c r="AX11" s="35">
        <v>3039.139999999999</v>
      </c>
      <c r="AY11" s="60">
        <v>5050.5</v>
      </c>
      <c r="AZ11" s="34">
        <v>97.060000000000016</v>
      </c>
      <c r="BA11" s="59">
        <v>5737.73</v>
      </c>
      <c r="BB11" s="35">
        <v>1934.119999999999</v>
      </c>
      <c r="BC11" s="56">
        <v>9094.7900000000045</v>
      </c>
      <c r="BD11" s="50">
        <v>28960.210000000101</v>
      </c>
      <c r="BE11" s="45">
        <v>652.56000000000006</v>
      </c>
      <c r="BF11" s="38">
        <v>4327.57</v>
      </c>
      <c r="BG11" s="31">
        <v>12152.62</v>
      </c>
      <c r="BH11" s="35">
        <v>1341.39</v>
      </c>
      <c r="BI11" s="31">
        <v>419.49999999999989</v>
      </c>
      <c r="BJ11" s="19">
        <v>48.329999999999984</v>
      </c>
      <c r="BK11" s="7">
        <v>5907.31</v>
      </c>
      <c r="BL11" s="20">
        <v>61.800000000000011</v>
      </c>
      <c r="BM11" s="7">
        <v>4136.2</v>
      </c>
      <c r="BN11" s="5"/>
      <c r="BO11" s="3" t="s">
        <v>1</v>
      </c>
    </row>
    <row r="12" spans="1:67" ht="15" thickBot="1" x14ac:dyDescent="0.35">
      <c r="A12" s="5"/>
      <c r="B12" s="3" t="s">
        <v>24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1668.9400000000003</v>
      </c>
      <c r="I12" s="35">
        <v>0</v>
      </c>
      <c r="J12" s="35">
        <v>0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35">
        <v>0</v>
      </c>
      <c r="R12" s="35">
        <v>0</v>
      </c>
      <c r="S12" s="35">
        <v>0</v>
      </c>
      <c r="T12" s="35">
        <v>0</v>
      </c>
      <c r="U12" s="35">
        <v>0</v>
      </c>
      <c r="V12" s="35">
        <v>0</v>
      </c>
      <c r="W12" s="35">
        <v>0</v>
      </c>
      <c r="X12" s="35">
        <v>0</v>
      </c>
      <c r="Y12" s="35">
        <v>0</v>
      </c>
      <c r="Z12" s="35">
        <v>0</v>
      </c>
      <c r="AA12" s="35">
        <v>0</v>
      </c>
      <c r="AB12" s="35">
        <v>0</v>
      </c>
      <c r="AC12" s="35">
        <v>0</v>
      </c>
      <c r="AD12" s="35">
        <v>0</v>
      </c>
      <c r="AE12" s="35">
        <v>0</v>
      </c>
      <c r="AF12" s="35">
        <v>0</v>
      </c>
      <c r="AG12" s="35">
        <v>0</v>
      </c>
      <c r="AH12" s="35">
        <v>0</v>
      </c>
      <c r="AI12" s="35">
        <v>0</v>
      </c>
      <c r="AJ12" s="36">
        <v>0</v>
      </c>
      <c r="AK12" s="115">
        <v>0</v>
      </c>
      <c r="AL12" s="36">
        <v>0</v>
      </c>
      <c r="AM12" s="115">
        <v>0</v>
      </c>
      <c r="AN12" s="36">
        <v>0</v>
      </c>
      <c r="AO12" s="108">
        <v>0</v>
      </c>
      <c r="AP12" s="36">
        <v>0</v>
      </c>
      <c r="AQ12" s="105">
        <v>0</v>
      </c>
      <c r="AR12" s="36">
        <v>0</v>
      </c>
      <c r="AS12" s="60">
        <v>0</v>
      </c>
      <c r="AT12" s="34">
        <v>0</v>
      </c>
      <c r="AU12" s="63">
        <v>0</v>
      </c>
      <c r="AV12" s="34">
        <v>0</v>
      </c>
      <c r="AW12" s="63">
        <v>0</v>
      </c>
      <c r="AX12" s="35">
        <v>0</v>
      </c>
      <c r="AY12" s="60">
        <v>0</v>
      </c>
      <c r="AZ12" s="34">
        <v>0</v>
      </c>
      <c r="BA12" s="59">
        <v>0</v>
      </c>
      <c r="BB12" s="35">
        <v>0</v>
      </c>
      <c r="BC12" s="56">
        <v>0</v>
      </c>
      <c r="BD12" s="50">
        <v>0</v>
      </c>
      <c r="BE12" s="45">
        <v>0</v>
      </c>
      <c r="BF12" s="38">
        <v>0</v>
      </c>
      <c r="BG12" s="31">
        <v>0</v>
      </c>
      <c r="BH12" s="35">
        <v>0</v>
      </c>
      <c r="BI12" s="31">
        <v>0</v>
      </c>
      <c r="BJ12" s="19">
        <v>0</v>
      </c>
      <c r="BK12" s="7">
        <v>0</v>
      </c>
      <c r="BL12" s="20">
        <v>0</v>
      </c>
      <c r="BM12" s="7">
        <v>0</v>
      </c>
      <c r="BN12" s="5"/>
      <c r="BO12" s="3" t="s">
        <v>24</v>
      </c>
    </row>
    <row r="13" spans="1:67" ht="15" thickBot="1" x14ac:dyDescent="0.35">
      <c r="A13" s="5"/>
      <c r="B13" s="3" t="s">
        <v>142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2.36</v>
      </c>
      <c r="I13" s="35">
        <v>0</v>
      </c>
      <c r="J13" s="35">
        <v>0</v>
      </c>
      <c r="K13" s="35">
        <v>0</v>
      </c>
      <c r="L13" s="35">
        <v>0</v>
      </c>
      <c r="M13" s="35">
        <v>0</v>
      </c>
      <c r="N13" s="35">
        <v>5.26</v>
      </c>
      <c r="O13" s="35">
        <v>0</v>
      </c>
      <c r="P13" s="35">
        <v>0</v>
      </c>
      <c r="Q13" s="35">
        <v>0</v>
      </c>
      <c r="R13" s="35">
        <v>0</v>
      </c>
      <c r="S13" s="35">
        <v>0</v>
      </c>
      <c r="T13" s="35">
        <v>3.02</v>
      </c>
      <c r="U13" s="35">
        <v>0</v>
      </c>
      <c r="V13" s="35">
        <v>0</v>
      </c>
      <c r="W13" s="35">
        <v>0</v>
      </c>
      <c r="X13" s="35">
        <v>0</v>
      </c>
      <c r="Y13" s="35">
        <v>0</v>
      </c>
      <c r="Z13" s="35">
        <v>7.01</v>
      </c>
      <c r="AA13" s="35">
        <v>0</v>
      </c>
      <c r="AB13" s="35">
        <v>0</v>
      </c>
      <c r="AC13" s="35">
        <v>0</v>
      </c>
      <c r="AD13" s="35">
        <v>0</v>
      </c>
      <c r="AE13" s="35">
        <v>0</v>
      </c>
      <c r="AF13" s="35">
        <v>0</v>
      </c>
      <c r="AG13" s="35">
        <v>0</v>
      </c>
      <c r="AH13" s="35">
        <v>0</v>
      </c>
      <c r="AI13" s="35">
        <v>0</v>
      </c>
      <c r="AJ13" s="36">
        <v>0</v>
      </c>
      <c r="AK13" s="115">
        <v>0</v>
      </c>
      <c r="AL13" s="36">
        <v>0</v>
      </c>
      <c r="AM13" s="115">
        <v>0</v>
      </c>
      <c r="AN13" s="36">
        <v>0</v>
      </c>
      <c r="AO13" s="108">
        <v>0</v>
      </c>
      <c r="AP13" s="36">
        <v>0</v>
      </c>
      <c r="AQ13" s="105">
        <v>0</v>
      </c>
      <c r="AR13" s="36">
        <v>0</v>
      </c>
      <c r="AS13" s="60">
        <v>0</v>
      </c>
      <c r="AT13" s="34">
        <v>0</v>
      </c>
      <c r="AU13" s="63">
        <v>0</v>
      </c>
      <c r="AV13" s="34">
        <v>0</v>
      </c>
      <c r="AW13" s="63">
        <v>0</v>
      </c>
      <c r="AX13" s="35">
        <v>0</v>
      </c>
      <c r="AY13" s="60">
        <v>0</v>
      </c>
      <c r="AZ13" s="34">
        <v>0</v>
      </c>
      <c r="BA13" s="59">
        <v>0</v>
      </c>
      <c r="BB13" s="35">
        <v>0</v>
      </c>
      <c r="BC13" s="56">
        <v>0</v>
      </c>
      <c r="BD13" s="50">
        <v>0</v>
      </c>
      <c r="BE13" s="45">
        <v>0</v>
      </c>
      <c r="BF13" s="38">
        <v>0</v>
      </c>
      <c r="BG13" s="31">
        <v>0</v>
      </c>
      <c r="BH13" s="35">
        <v>0</v>
      </c>
      <c r="BI13" s="31">
        <v>0</v>
      </c>
      <c r="BJ13" s="19">
        <v>0</v>
      </c>
      <c r="BK13" s="7">
        <v>0</v>
      </c>
      <c r="BL13" s="20">
        <v>0</v>
      </c>
      <c r="BM13" s="7">
        <v>0</v>
      </c>
      <c r="BN13" s="5"/>
      <c r="BO13" s="3" t="s">
        <v>142</v>
      </c>
    </row>
    <row r="14" spans="1:67" ht="15" thickBot="1" x14ac:dyDescent="0.35">
      <c r="A14" s="5"/>
      <c r="B14" s="3" t="s">
        <v>2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35">
        <v>0</v>
      </c>
      <c r="J14" s="35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35">
        <v>0</v>
      </c>
      <c r="R14" s="35">
        <v>0</v>
      </c>
      <c r="S14" s="35">
        <v>0</v>
      </c>
      <c r="T14" s="35">
        <v>0</v>
      </c>
      <c r="U14" s="35">
        <v>0</v>
      </c>
      <c r="V14" s="35">
        <v>0</v>
      </c>
      <c r="W14" s="35">
        <v>0</v>
      </c>
      <c r="X14" s="35">
        <v>0</v>
      </c>
      <c r="Y14" s="35">
        <v>0</v>
      </c>
      <c r="Z14" s="35">
        <v>1.9</v>
      </c>
      <c r="AA14" s="35">
        <v>7.91</v>
      </c>
      <c r="AB14" s="35">
        <v>0</v>
      </c>
      <c r="AC14" s="35">
        <v>0.08</v>
      </c>
      <c r="AD14" s="35">
        <v>10.75</v>
      </c>
      <c r="AE14" s="35">
        <v>19.04</v>
      </c>
      <c r="AF14" s="35">
        <v>12.78</v>
      </c>
      <c r="AG14" s="35">
        <v>1.34</v>
      </c>
      <c r="AH14" s="35">
        <v>4.21</v>
      </c>
      <c r="AI14" s="35">
        <v>9.49</v>
      </c>
      <c r="AJ14" s="36">
        <v>0</v>
      </c>
      <c r="AK14" s="115">
        <v>0</v>
      </c>
      <c r="AL14" s="36">
        <v>48.49</v>
      </c>
      <c r="AM14" s="115">
        <v>3.39</v>
      </c>
      <c r="AN14" s="36">
        <v>0</v>
      </c>
      <c r="AO14" s="108">
        <v>1.6400000000000006</v>
      </c>
      <c r="AP14" s="36">
        <v>61.49</v>
      </c>
      <c r="AQ14" s="105">
        <v>65.47</v>
      </c>
      <c r="AR14" s="36">
        <v>143.47999999999999</v>
      </c>
      <c r="AS14" s="60">
        <v>46.54</v>
      </c>
      <c r="AT14" s="34">
        <v>60.909999999999954</v>
      </c>
      <c r="AU14" s="63">
        <v>68.36</v>
      </c>
      <c r="AV14" s="34">
        <v>23.47</v>
      </c>
      <c r="AW14" s="63">
        <v>1.28</v>
      </c>
      <c r="AX14" s="35">
        <v>39.33</v>
      </c>
      <c r="AY14" s="60">
        <v>102.48</v>
      </c>
      <c r="AZ14" s="35">
        <v>2.2399999999999998</v>
      </c>
      <c r="BA14" s="59">
        <v>102.04</v>
      </c>
      <c r="BB14" s="35">
        <v>30.02</v>
      </c>
      <c r="BC14" s="56">
        <v>14.500000000000002</v>
      </c>
      <c r="BD14" s="50">
        <v>747.46000000000174</v>
      </c>
      <c r="BE14" s="45">
        <v>14.760000000000002</v>
      </c>
      <c r="BF14" s="38">
        <v>121.98</v>
      </c>
      <c r="BG14" s="31">
        <v>226.36</v>
      </c>
      <c r="BH14" s="35">
        <v>12.020000000000001</v>
      </c>
      <c r="BI14" s="31">
        <v>17.790000000000024</v>
      </c>
      <c r="BJ14" s="19">
        <v>1569.42</v>
      </c>
      <c r="BK14" s="7">
        <v>185.1</v>
      </c>
      <c r="BL14" s="20">
        <v>0.8</v>
      </c>
      <c r="BM14" s="7">
        <v>141.14999999999989</v>
      </c>
      <c r="BN14" s="5"/>
      <c r="BO14" s="3" t="s">
        <v>2</v>
      </c>
    </row>
    <row r="15" spans="1:67" ht="15" thickBot="1" x14ac:dyDescent="0.35">
      <c r="A15" s="5" t="s">
        <v>29</v>
      </c>
      <c r="B15" s="3" t="s">
        <v>0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35">
        <v>0</v>
      </c>
      <c r="J15" s="35">
        <v>0</v>
      </c>
      <c r="K15" s="35">
        <v>0</v>
      </c>
      <c r="L15" s="35">
        <v>0</v>
      </c>
      <c r="M15" s="35">
        <v>0</v>
      </c>
      <c r="N15" s="35">
        <v>0</v>
      </c>
      <c r="O15" s="35">
        <v>0</v>
      </c>
      <c r="P15" s="35">
        <v>0</v>
      </c>
      <c r="Q15" s="35">
        <v>0</v>
      </c>
      <c r="R15" s="35">
        <v>0</v>
      </c>
      <c r="S15" s="35">
        <v>0</v>
      </c>
      <c r="T15" s="35">
        <v>0</v>
      </c>
      <c r="U15" s="35">
        <v>0</v>
      </c>
      <c r="V15" s="35">
        <v>0</v>
      </c>
      <c r="W15" s="35">
        <v>0</v>
      </c>
      <c r="X15" s="35">
        <v>0</v>
      </c>
      <c r="Y15" s="35">
        <v>0</v>
      </c>
      <c r="Z15" s="35">
        <v>17010.23</v>
      </c>
      <c r="AA15" s="35">
        <v>519</v>
      </c>
      <c r="AB15" s="35">
        <v>3462.03</v>
      </c>
      <c r="AC15" s="35">
        <v>0</v>
      </c>
      <c r="AD15" s="35">
        <v>662.88</v>
      </c>
      <c r="AE15" s="35">
        <v>18446.34</v>
      </c>
      <c r="AF15" s="35">
        <v>10188</v>
      </c>
      <c r="AG15" s="35">
        <v>36958.379999999997</v>
      </c>
      <c r="AH15" s="35">
        <v>23217.48</v>
      </c>
      <c r="AI15" s="119">
        <v>5000.28</v>
      </c>
      <c r="AJ15" s="35">
        <v>4012.05</v>
      </c>
      <c r="AK15" s="116">
        <v>4055.2799999999997</v>
      </c>
      <c r="AL15" s="36">
        <v>3907.41</v>
      </c>
      <c r="AM15" s="115">
        <v>5251.57</v>
      </c>
      <c r="AN15" s="36">
        <v>10485.299999999999</v>
      </c>
      <c r="AO15" s="108">
        <v>10754.82</v>
      </c>
      <c r="AP15" s="36">
        <v>10543.47</v>
      </c>
      <c r="AQ15" s="105">
        <v>34750.199999999997</v>
      </c>
      <c r="AR15" s="35">
        <v>29836.62</v>
      </c>
      <c r="AS15" s="60">
        <v>17693.22</v>
      </c>
      <c r="AT15" s="35">
        <v>30841.71</v>
      </c>
      <c r="AU15" s="63">
        <v>15415.83</v>
      </c>
      <c r="AV15" s="34">
        <v>24096</v>
      </c>
      <c r="AW15" s="63">
        <v>8765.91</v>
      </c>
      <c r="AX15" s="35">
        <v>8674.92</v>
      </c>
      <c r="AY15" s="60">
        <v>23092.83</v>
      </c>
      <c r="AZ15" s="34">
        <v>51038.64</v>
      </c>
      <c r="BA15" s="59">
        <v>0</v>
      </c>
      <c r="BB15" s="35">
        <v>31579.95</v>
      </c>
      <c r="BC15" s="56">
        <v>42861.87</v>
      </c>
      <c r="BD15" s="51">
        <v>32735.019203747073</v>
      </c>
      <c r="BE15" s="45">
        <v>18012.96</v>
      </c>
      <c r="BF15" s="38">
        <v>19826.189999999999</v>
      </c>
      <c r="BG15" s="31">
        <v>12758.76</v>
      </c>
      <c r="BH15" s="35">
        <v>16678.62</v>
      </c>
      <c r="BI15" s="31">
        <v>0</v>
      </c>
      <c r="BJ15" s="19">
        <v>13136.73</v>
      </c>
      <c r="BK15" s="7">
        <v>13886.04</v>
      </c>
      <c r="BL15" s="20">
        <v>10209.57</v>
      </c>
      <c r="BM15" s="7">
        <v>8057.49</v>
      </c>
      <c r="BN15" s="5" t="s">
        <v>29</v>
      </c>
      <c r="BO15" s="3" t="s">
        <v>0</v>
      </c>
    </row>
    <row r="16" spans="1:67" ht="15" thickBot="1" x14ac:dyDescent="0.35">
      <c r="A16" s="5"/>
      <c r="B16" s="3" t="s">
        <v>1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35">
        <v>0</v>
      </c>
      <c r="J16" s="35">
        <v>0</v>
      </c>
      <c r="K16" s="35">
        <v>0</v>
      </c>
      <c r="L16" s="35">
        <v>0</v>
      </c>
      <c r="M16" s="35">
        <v>0</v>
      </c>
      <c r="N16" s="35">
        <v>0</v>
      </c>
      <c r="O16" s="35">
        <v>0</v>
      </c>
      <c r="P16" s="35">
        <v>0</v>
      </c>
      <c r="Q16" s="35">
        <v>0</v>
      </c>
      <c r="R16" s="35">
        <v>0</v>
      </c>
      <c r="S16" s="35">
        <v>0</v>
      </c>
      <c r="T16" s="35">
        <v>0</v>
      </c>
      <c r="U16" s="35">
        <v>0</v>
      </c>
      <c r="V16" s="35">
        <v>0</v>
      </c>
      <c r="W16" s="35">
        <v>0</v>
      </c>
      <c r="X16" s="35">
        <v>0</v>
      </c>
      <c r="Y16" s="35">
        <v>0</v>
      </c>
      <c r="Z16" s="35">
        <v>0</v>
      </c>
      <c r="AA16" s="35">
        <v>8589.4500000000007</v>
      </c>
      <c r="AB16" s="35">
        <v>26473.59</v>
      </c>
      <c r="AC16" s="35">
        <v>0</v>
      </c>
      <c r="AD16" s="35">
        <v>2220</v>
      </c>
      <c r="AE16" s="35">
        <v>9636</v>
      </c>
      <c r="AF16" s="35">
        <v>40790.07</v>
      </c>
      <c r="AG16" s="35">
        <v>7752</v>
      </c>
      <c r="AH16" s="35">
        <v>0</v>
      </c>
      <c r="AI16" s="35">
        <v>34176</v>
      </c>
      <c r="AJ16" s="36">
        <v>2616</v>
      </c>
      <c r="AK16" s="115">
        <v>372</v>
      </c>
      <c r="AL16" s="36">
        <v>4368</v>
      </c>
      <c r="AM16" s="115">
        <v>7920</v>
      </c>
      <c r="AN16" s="36">
        <v>6552</v>
      </c>
      <c r="AO16" s="109">
        <v>6180</v>
      </c>
      <c r="AP16" s="36">
        <v>2100</v>
      </c>
      <c r="AQ16" s="105">
        <v>3936</v>
      </c>
      <c r="AR16" s="36">
        <v>4776</v>
      </c>
      <c r="AS16" s="60">
        <v>7440</v>
      </c>
      <c r="AT16" s="34">
        <v>11316</v>
      </c>
      <c r="AU16" s="63">
        <v>6912</v>
      </c>
      <c r="AV16" s="34">
        <v>6648</v>
      </c>
      <c r="AW16" s="63">
        <v>8028</v>
      </c>
      <c r="AX16" s="34">
        <v>8388</v>
      </c>
      <c r="AY16" s="60">
        <v>516</v>
      </c>
      <c r="AZ16" s="34">
        <v>19980</v>
      </c>
      <c r="BA16" s="59">
        <v>0</v>
      </c>
      <c r="BB16" s="35">
        <v>4224</v>
      </c>
      <c r="BC16" s="56">
        <v>8724</v>
      </c>
      <c r="BD16" s="54">
        <v>7744.58</v>
      </c>
      <c r="BE16" s="45">
        <v>7812</v>
      </c>
      <c r="BF16" s="46">
        <v>9611.19</v>
      </c>
      <c r="BG16" s="31">
        <v>5815.74</v>
      </c>
      <c r="BH16" s="36">
        <v>9274.44</v>
      </c>
      <c r="BI16" s="31">
        <v>0</v>
      </c>
      <c r="BJ16" s="19">
        <v>10344</v>
      </c>
      <c r="BK16" s="7">
        <v>18203.009999999998</v>
      </c>
      <c r="BL16" s="20">
        <v>12438.51</v>
      </c>
      <c r="BM16" s="7">
        <v>2702.91</v>
      </c>
      <c r="BN16" s="5"/>
      <c r="BO16" s="3" t="s">
        <v>1</v>
      </c>
    </row>
    <row r="17" spans="1:67" ht="15" thickBot="1" x14ac:dyDescent="0.35">
      <c r="A17" s="5"/>
      <c r="B17" s="3" t="s">
        <v>2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35">
        <v>0</v>
      </c>
      <c r="J17" s="35">
        <v>0</v>
      </c>
      <c r="K17" s="35">
        <v>0</v>
      </c>
      <c r="L17" s="35">
        <v>0</v>
      </c>
      <c r="M17" s="35">
        <v>0</v>
      </c>
      <c r="N17" s="35">
        <v>0</v>
      </c>
      <c r="O17" s="35">
        <v>0</v>
      </c>
      <c r="P17" s="35">
        <v>0</v>
      </c>
      <c r="Q17" s="35">
        <v>0</v>
      </c>
      <c r="R17" s="35">
        <v>0</v>
      </c>
      <c r="S17" s="35">
        <v>0</v>
      </c>
      <c r="T17" s="35">
        <v>0</v>
      </c>
      <c r="U17" s="35">
        <v>0</v>
      </c>
      <c r="V17" s="35">
        <v>0</v>
      </c>
      <c r="W17" s="35">
        <v>0</v>
      </c>
      <c r="X17" s="35">
        <v>0</v>
      </c>
      <c r="Y17" s="35">
        <v>0</v>
      </c>
      <c r="Z17" s="35">
        <v>0</v>
      </c>
      <c r="AA17" s="35">
        <v>0</v>
      </c>
      <c r="AB17" s="35"/>
      <c r="AC17" s="35">
        <v>0</v>
      </c>
      <c r="AD17" s="35">
        <v>0</v>
      </c>
      <c r="AE17" s="35">
        <v>0</v>
      </c>
      <c r="AF17" s="35">
        <v>0</v>
      </c>
      <c r="AG17" s="35">
        <v>0</v>
      </c>
      <c r="AH17" s="35">
        <v>0</v>
      </c>
      <c r="AI17" s="35">
        <v>0</v>
      </c>
      <c r="AJ17" s="36">
        <v>0</v>
      </c>
      <c r="AK17" s="115">
        <v>0</v>
      </c>
      <c r="AL17" s="36">
        <v>0</v>
      </c>
      <c r="AM17" s="115">
        <v>0</v>
      </c>
      <c r="AN17" s="36">
        <v>0</v>
      </c>
      <c r="AO17" s="109">
        <v>0</v>
      </c>
      <c r="AP17" s="36">
        <v>0</v>
      </c>
      <c r="AQ17" s="105">
        <v>0</v>
      </c>
      <c r="AR17" s="36">
        <v>0</v>
      </c>
      <c r="AS17" s="60">
        <v>0</v>
      </c>
      <c r="AT17" s="34">
        <v>0</v>
      </c>
      <c r="AU17" s="63">
        <v>0</v>
      </c>
      <c r="AV17" s="34">
        <v>0</v>
      </c>
      <c r="AW17" s="63">
        <v>0</v>
      </c>
      <c r="AX17" s="34">
        <v>0</v>
      </c>
      <c r="AY17" s="60">
        <v>0</v>
      </c>
      <c r="AZ17" s="34">
        <v>0</v>
      </c>
      <c r="BA17" s="59">
        <v>0</v>
      </c>
      <c r="BB17" s="35">
        <v>0</v>
      </c>
      <c r="BC17" s="56">
        <v>0</v>
      </c>
      <c r="BE17" s="45">
        <v>0</v>
      </c>
      <c r="BF17" s="47">
        <v>0</v>
      </c>
      <c r="BG17" s="31">
        <v>0</v>
      </c>
      <c r="BH17" s="36">
        <v>0</v>
      </c>
      <c r="BI17" s="31">
        <v>0</v>
      </c>
      <c r="BJ17" s="19">
        <v>0</v>
      </c>
      <c r="BK17" s="7">
        <v>0</v>
      </c>
      <c r="BL17" s="20">
        <v>0</v>
      </c>
      <c r="BM17" s="8">
        <v>18.48</v>
      </c>
      <c r="BN17" s="5"/>
      <c r="BO17" s="3" t="s">
        <v>2</v>
      </c>
    </row>
    <row r="18" spans="1:67" ht="15" thickBot="1" x14ac:dyDescent="0.35">
      <c r="A18" s="5" t="s">
        <v>3</v>
      </c>
      <c r="B18" s="3" t="s">
        <v>0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35">
        <v>0</v>
      </c>
      <c r="J18" s="35">
        <v>0</v>
      </c>
      <c r="K18" s="35">
        <v>0</v>
      </c>
      <c r="L18" s="35">
        <v>0</v>
      </c>
      <c r="M18" s="35">
        <v>0</v>
      </c>
      <c r="N18" s="35">
        <v>0</v>
      </c>
      <c r="O18" s="35">
        <v>0</v>
      </c>
      <c r="P18" s="35">
        <v>0</v>
      </c>
      <c r="Q18" s="35">
        <v>0</v>
      </c>
      <c r="R18" s="35">
        <v>0</v>
      </c>
      <c r="S18" s="35">
        <v>0</v>
      </c>
      <c r="T18" s="35">
        <v>0</v>
      </c>
      <c r="U18" s="35">
        <v>0</v>
      </c>
      <c r="V18" s="35">
        <v>0</v>
      </c>
      <c r="W18" s="35">
        <v>0</v>
      </c>
      <c r="X18" s="35">
        <v>0</v>
      </c>
      <c r="Y18" s="35">
        <v>0</v>
      </c>
      <c r="Z18" s="35">
        <v>0</v>
      </c>
      <c r="AA18" s="35">
        <v>0</v>
      </c>
      <c r="AB18" s="35">
        <v>0</v>
      </c>
      <c r="AC18" s="35">
        <v>0</v>
      </c>
      <c r="AD18" s="35">
        <v>0</v>
      </c>
      <c r="AE18" s="35">
        <v>0</v>
      </c>
      <c r="AF18" s="35">
        <v>0</v>
      </c>
      <c r="AG18" s="35">
        <v>0</v>
      </c>
      <c r="AH18" s="35">
        <v>0</v>
      </c>
      <c r="AI18" s="35">
        <v>0</v>
      </c>
      <c r="AJ18" s="36">
        <v>0</v>
      </c>
      <c r="AK18" s="115">
        <v>0</v>
      </c>
      <c r="AL18" s="36">
        <v>0</v>
      </c>
      <c r="AM18" s="115">
        <v>0</v>
      </c>
      <c r="AN18" s="36">
        <v>0</v>
      </c>
      <c r="AO18" s="109">
        <v>0</v>
      </c>
      <c r="AP18" s="36">
        <v>0</v>
      </c>
      <c r="AQ18" s="105">
        <v>0</v>
      </c>
      <c r="AR18" s="36">
        <v>0</v>
      </c>
      <c r="AS18" s="60">
        <v>0</v>
      </c>
      <c r="AT18" s="34">
        <v>0</v>
      </c>
      <c r="AU18" s="63">
        <v>0</v>
      </c>
      <c r="AV18" s="34">
        <v>0</v>
      </c>
      <c r="AW18" s="63">
        <v>0</v>
      </c>
      <c r="AX18" s="34">
        <v>0</v>
      </c>
      <c r="AY18" s="60">
        <v>0</v>
      </c>
      <c r="AZ18" s="35">
        <v>0</v>
      </c>
      <c r="BA18" s="59">
        <v>0</v>
      </c>
      <c r="BB18" s="35">
        <v>0</v>
      </c>
      <c r="BC18" s="56">
        <v>707.28</v>
      </c>
      <c r="BD18" s="50">
        <v>1021.5500000000003</v>
      </c>
      <c r="BE18" s="45">
        <v>256.20000000000005</v>
      </c>
      <c r="BF18" s="38">
        <v>983.41</v>
      </c>
      <c r="BG18" s="31">
        <v>427.51</v>
      </c>
      <c r="BH18" s="35">
        <v>53.75</v>
      </c>
      <c r="BI18" s="31">
        <v>580.84999999999991</v>
      </c>
      <c r="BJ18" s="27">
        <v>1263.2399999999998</v>
      </c>
      <c r="BK18" s="7">
        <v>766.12</v>
      </c>
      <c r="BL18" s="20">
        <v>1215.9399999999998</v>
      </c>
      <c r="BM18" s="7">
        <v>745.99</v>
      </c>
      <c r="BN18" s="5" t="s">
        <v>3</v>
      </c>
      <c r="BO18" s="3" t="s">
        <v>0</v>
      </c>
    </row>
    <row r="19" spans="1:67" ht="15" thickBot="1" x14ac:dyDescent="0.35">
      <c r="A19" s="5"/>
      <c r="B19" s="3" t="s">
        <v>1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35">
        <v>0</v>
      </c>
      <c r="J19" s="35">
        <v>0</v>
      </c>
      <c r="K19" s="35">
        <v>0</v>
      </c>
      <c r="L19" s="35">
        <v>0</v>
      </c>
      <c r="M19" s="35">
        <v>0</v>
      </c>
      <c r="N19" s="35">
        <v>0</v>
      </c>
      <c r="O19" s="35">
        <v>0</v>
      </c>
      <c r="P19" s="35">
        <v>0</v>
      </c>
      <c r="Q19" s="35">
        <v>0</v>
      </c>
      <c r="R19" s="35">
        <v>0</v>
      </c>
      <c r="S19" s="35">
        <v>0</v>
      </c>
      <c r="T19" s="35">
        <v>0</v>
      </c>
      <c r="U19" s="35">
        <v>0</v>
      </c>
      <c r="V19" s="35">
        <v>0</v>
      </c>
      <c r="W19" s="35">
        <v>0</v>
      </c>
      <c r="X19" s="35">
        <v>0</v>
      </c>
      <c r="Y19" s="35">
        <v>0</v>
      </c>
      <c r="Z19" s="35">
        <v>0</v>
      </c>
      <c r="AA19" s="35">
        <v>3284.28</v>
      </c>
      <c r="AB19" s="35">
        <v>0</v>
      </c>
      <c r="AC19" s="35">
        <v>0</v>
      </c>
      <c r="AD19" s="35">
        <v>0</v>
      </c>
      <c r="AE19" s="35">
        <v>0</v>
      </c>
      <c r="AF19" s="35">
        <v>0</v>
      </c>
      <c r="AG19" s="35">
        <v>0</v>
      </c>
      <c r="AH19" s="35">
        <v>0</v>
      </c>
      <c r="AI19" s="35">
        <v>0</v>
      </c>
      <c r="AJ19" s="36">
        <v>0</v>
      </c>
      <c r="AK19" s="115">
        <v>0</v>
      </c>
      <c r="AL19" s="36">
        <v>0</v>
      </c>
      <c r="AM19" s="115">
        <v>0</v>
      </c>
      <c r="AN19" s="36">
        <v>0</v>
      </c>
      <c r="AO19" s="109">
        <v>0</v>
      </c>
      <c r="AP19" s="36">
        <v>0</v>
      </c>
      <c r="AQ19" s="105">
        <v>0</v>
      </c>
      <c r="AR19" s="36">
        <v>0</v>
      </c>
      <c r="AS19" s="60">
        <v>0</v>
      </c>
      <c r="AT19" s="34">
        <v>0</v>
      </c>
      <c r="AU19" s="63">
        <v>0</v>
      </c>
      <c r="AV19" s="34">
        <v>0</v>
      </c>
      <c r="AW19" s="63">
        <v>0</v>
      </c>
      <c r="AX19" s="34">
        <v>0</v>
      </c>
      <c r="AY19" s="60">
        <v>0</v>
      </c>
      <c r="AZ19" s="35">
        <v>0</v>
      </c>
      <c r="BA19" s="59">
        <v>0</v>
      </c>
      <c r="BB19" s="35">
        <v>0</v>
      </c>
      <c r="BC19" s="56">
        <v>6635.4799999999959</v>
      </c>
      <c r="BD19" s="50">
        <v>10226.860000000006</v>
      </c>
      <c r="BE19" s="45">
        <v>7717.7999999999956</v>
      </c>
      <c r="BF19" s="38">
        <v>7385.54</v>
      </c>
      <c r="BG19" s="31">
        <v>7179.6</v>
      </c>
      <c r="BH19" s="35">
        <v>14441.219999999996</v>
      </c>
      <c r="BI19" s="31">
        <v>14580.610000000035</v>
      </c>
      <c r="BJ19" s="27">
        <v>12276.02</v>
      </c>
      <c r="BK19" s="7">
        <v>18229.070000000043</v>
      </c>
      <c r="BL19" s="20">
        <v>19508.500000000062</v>
      </c>
      <c r="BM19" s="7">
        <v>3806.8000000000006</v>
      </c>
      <c r="BN19" s="5"/>
      <c r="BO19" s="3" t="s">
        <v>1</v>
      </c>
    </row>
    <row r="20" spans="1:67" ht="15" thickBot="1" x14ac:dyDescent="0.35">
      <c r="A20" s="5" t="s">
        <v>22</v>
      </c>
      <c r="B20" s="3" t="s">
        <v>23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10</v>
      </c>
      <c r="I20" s="35">
        <v>5</v>
      </c>
      <c r="J20" s="35">
        <v>21</v>
      </c>
      <c r="K20" s="35">
        <v>29</v>
      </c>
      <c r="L20" s="35">
        <v>21</v>
      </c>
      <c r="M20" s="35">
        <v>35</v>
      </c>
      <c r="N20" s="35">
        <v>23</v>
      </c>
      <c r="O20" s="35">
        <v>65</v>
      </c>
      <c r="P20" s="35">
        <v>134</v>
      </c>
      <c r="Q20" s="35">
        <v>6</v>
      </c>
      <c r="R20" s="35">
        <v>50</v>
      </c>
      <c r="S20" s="35">
        <v>24</v>
      </c>
      <c r="T20" s="35">
        <v>40</v>
      </c>
      <c r="U20" s="35">
        <v>30</v>
      </c>
      <c r="V20" s="35">
        <v>36</v>
      </c>
      <c r="W20" s="35">
        <v>64</v>
      </c>
      <c r="X20" s="35">
        <v>44</v>
      </c>
      <c r="Y20" s="35">
        <v>147</v>
      </c>
      <c r="Z20" s="35">
        <v>54</v>
      </c>
      <c r="AA20" s="35">
        <v>73</v>
      </c>
      <c r="AB20" s="35">
        <v>66</v>
      </c>
      <c r="AC20" s="35">
        <v>23</v>
      </c>
      <c r="AD20" s="35">
        <v>18</v>
      </c>
      <c r="AE20" s="35">
        <v>44</v>
      </c>
      <c r="AF20" s="35">
        <v>50</v>
      </c>
      <c r="AG20" s="35">
        <v>52</v>
      </c>
      <c r="AH20" s="35">
        <v>17</v>
      </c>
      <c r="AI20" s="35">
        <v>20</v>
      </c>
      <c r="AJ20" s="36">
        <v>103</v>
      </c>
      <c r="AK20" s="115">
        <v>21</v>
      </c>
      <c r="AL20" s="36">
        <v>41</v>
      </c>
      <c r="AM20" s="115">
        <v>17</v>
      </c>
      <c r="AN20" s="36">
        <v>42</v>
      </c>
      <c r="AO20" s="109">
        <v>11</v>
      </c>
      <c r="AP20" s="36">
        <v>6</v>
      </c>
      <c r="AQ20" s="105">
        <v>23</v>
      </c>
      <c r="AR20" s="36">
        <v>24</v>
      </c>
      <c r="AS20" s="60">
        <v>43</v>
      </c>
      <c r="AT20" s="34">
        <v>7</v>
      </c>
      <c r="AU20" s="63">
        <v>19</v>
      </c>
      <c r="AV20" s="34">
        <v>29</v>
      </c>
      <c r="AW20" s="63">
        <v>21</v>
      </c>
      <c r="AX20" s="34">
        <v>0</v>
      </c>
      <c r="AY20" s="60">
        <v>54</v>
      </c>
      <c r="AZ20" s="34">
        <v>25</v>
      </c>
      <c r="BA20" s="59">
        <v>0</v>
      </c>
      <c r="BB20" s="35">
        <v>36</v>
      </c>
      <c r="BC20" s="56">
        <v>12</v>
      </c>
      <c r="BD20" s="52">
        <v>0</v>
      </c>
      <c r="BE20" s="45">
        <v>29</v>
      </c>
      <c r="BF20" s="40">
        <v>14</v>
      </c>
      <c r="BG20" s="32">
        <v>0</v>
      </c>
      <c r="BH20" s="37">
        <v>19</v>
      </c>
      <c r="BI20" s="32">
        <v>0</v>
      </c>
      <c r="BJ20" s="19">
        <v>13</v>
      </c>
      <c r="BK20" s="7">
        <v>44</v>
      </c>
      <c r="BL20" s="20">
        <v>13</v>
      </c>
      <c r="BM20" s="9">
        <v>23.37</v>
      </c>
      <c r="BN20" s="5" t="s">
        <v>22</v>
      </c>
      <c r="BO20" s="3" t="s">
        <v>23</v>
      </c>
    </row>
    <row r="21" spans="1:67" ht="15" thickBot="1" x14ac:dyDescent="0.35">
      <c r="A21" s="5" t="s">
        <v>20</v>
      </c>
      <c r="B21" s="3" t="s">
        <v>0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35">
        <v>0</v>
      </c>
      <c r="J21" s="35">
        <v>0</v>
      </c>
      <c r="K21" s="35">
        <v>0</v>
      </c>
      <c r="L21" s="35">
        <v>0</v>
      </c>
      <c r="M21" s="35">
        <v>0</v>
      </c>
      <c r="N21" s="35">
        <v>0</v>
      </c>
      <c r="O21" s="35">
        <v>373.93</v>
      </c>
      <c r="P21" s="35">
        <v>0</v>
      </c>
      <c r="Q21" s="35">
        <v>271.08</v>
      </c>
      <c r="R21" s="35">
        <v>0</v>
      </c>
      <c r="S21" s="35">
        <v>0</v>
      </c>
      <c r="T21" s="35">
        <v>1798.67</v>
      </c>
      <c r="U21" s="35">
        <v>0</v>
      </c>
      <c r="V21" s="35">
        <v>398.52</v>
      </c>
      <c r="W21" s="35">
        <v>0</v>
      </c>
      <c r="X21" s="35">
        <v>0</v>
      </c>
      <c r="Y21" s="35">
        <v>0</v>
      </c>
      <c r="Z21" s="35">
        <v>0</v>
      </c>
      <c r="AA21" s="35">
        <v>0</v>
      </c>
      <c r="AB21" s="35">
        <v>0</v>
      </c>
      <c r="AC21" s="35">
        <v>0</v>
      </c>
      <c r="AD21" s="35">
        <v>221.53</v>
      </c>
      <c r="AE21" s="35">
        <v>0</v>
      </c>
      <c r="AF21" s="35">
        <v>0</v>
      </c>
      <c r="AG21" s="35">
        <v>0</v>
      </c>
      <c r="AH21" s="35">
        <v>384.59</v>
      </c>
      <c r="AI21" s="35">
        <v>0</v>
      </c>
      <c r="AJ21" s="36">
        <v>249.25</v>
      </c>
      <c r="AK21" s="115">
        <v>0</v>
      </c>
      <c r="AL21" s="36">
        <v>0</v>
      </c>
      <c r="AM21" s="115">
        <v>0</v>
      </c>
      <c r="AN21" s="36">
        <v>0</v>
      </c>
      <c r="AO21" s="108">
        <v>83.1</v>
      </c>
      <c r="AP21" s="36">
        <v>0</v>
      </c>
      <c r="AQ21" s="105">
        <v>0</v>
      </c>
      <c r="AR21" s="36">
        <v>0</v>
      </c>
      <c r="AS21" s="60">
        <v>0</v>
      </c>
      <c r="AT21" s="34">
        <v>0</v>
      </c>
      <c r="AU21" s="63">
        <v>0</v>
      </c>
      <c r="AV21" s="34">
        <v>0</v>
      </c>
      <c r="AW21" s="63">
        <v>0</v>
      </c>
      <c r="AX21" s="35">
        <v>121.33</v>
      </c>
      <c r="AY21" s="60">
        <v>0</v>
      </c>
      <c r="AZ21" s="34">
        <v>716.37</v>
      </c>
      <c r="BA21" s="59">
        <v>466.09</v>
      </c>
      <c r="BB21" s="35">
        <v>184.60000000000002</v>
      </c>
      <c r="BC21" s="56">
        <v>29713.090000000015</v>
      </c>
      <c r="BD21" s="50">
        <v>136.97999999999999</v>
      </c>
      <c r="BE21" s="45">
        <v>551.27</v>
      </c>
      <c r="BF21" s="38">
        <v>0</v>
      </c>
      <c r="BG21" s="31">
        <v>0</v>
      </c>
      <c r="BH21" s="35">
        <v>-170.07</v>
      </c>
      <c r="BI21" s="31">
        <v>0</v>
      </c>
      <c r="BJ21" s="19">
        <v>0</v>
      </c>
      <c r="BK21" s="7">
        <v>0</v>
      </c>
      <c r="BL21" s="20">
        <v>5649.2099999999991</v>
      </c>
      <c r="BM21" s="7">
        <v>1790.71</v>
      </c>
      <c r="BN21" s="5" t="s">
        <v>20</v>
      </c>
      <c r="BO21" s="3" t="s">
        <v>0</v>
      </c>
    </row>
    <row r="22" spans="1:67" ht="15" thickBot="1" x14ac:dyDescent="0.35">
      <c r="A22" s="5"/>
      <c r="B22" s="3" t="s">
        <v>1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35">
        <v>0</v>
      </c>
      <c r="J22" s="35">
        <v>0</v>
      </c>
      <c r="K22" s="35">
        <v>0</v>
      </c>
      <c r="L22" s="35">
        <v>0</v>
      </c>
      <c r="M22" s="35">
        <v>0</v>
      </c>
      <c r="N22" s="35">
        <v>0</v>
      </c>
      <c r="O22" s="35">
        <v>8939.9599999999991</v>
      </c>
      <c r="P22" s="35">
        <v>5962.1899999999987</v>
      </c>
      <c r="Q22" s="35">
        <v>1711.3400000000001</v>
      </c>
      <c r="R22" s="35">
        <v>828.45</v>
      </c>
      <c r="S22" s="35">
        <v>1188.44</v>
      </c>
      <c r="T22" s="35">
        <v>294.29000000000002</v>
      </c>
      <c r="U22" s="35">
        <v>3500.76</v>
      </c>
      <c r="V22" s="35">
        <v>0</v>
      </c>
      <c r="W22" s="35">
        <v>298.08</v>
      </c>
      <c r="X22" s="35">
        <v>0</v>
      </c>
      <c r="Y22" s="35">
        <v>864.17000000000007</v>
      </c>
      <c r="Z22" s="35">
        <v>852.38</v>
      </c>
      <c r="AA22" s="35">
        <v>5136.59</v>
      </c>
      <c r="AB22" s="35">
        <v>3008.8</v>
      </c>
      <c r="AC22" s="35">
        <v>864.81</v>
      </c>
      <c r="AD22" s="35">
        <v>1142.76</v>
      </c>
      <c r="AE22" s="35">
        <v>570.08999999999992</v>
      </c>
      <c r="AF22" s="35">
        <v>1037.43</v>
      </c>
      <c r="AG22" s="35">
        <v>0</v>
      </c>
      <c r="AH22" s="35">
        <v>4754.7</v>
      </c>
      <c r="AI22" s="35">
        <v>285.69</v>
      </c>
      <c r="AJ22" s="36">
        <v>4482.7299999999996</v>
      </c>
      <c r="AK22" s="115">
        <v>355.01</v>
      </c>
      <c r="AL22" s="36">
        <v>4041.09</v>
      </c>
      <c r="AM22" s="115">
        <v>3261.79</v>
      </c>
      <c r="AN22" s="36">
        <v>0</v>
      </c>
      <c r="AO22" s="109">
        <v>0</v>
      </c>
      <c r="AP22" s="36">
        <v>714.76</v>
      </c>
      <c r="AQ22" s="105">
        <v>293.85000000000002</v>
      </c>
      <c r="AR22" s="36">
        <v>0</v>
      </c>
      <c r="AS22" s="60">
        <v>0</v>
      </c>
      <c r="AT22" s="34">
        <v>0</v>
      </c>
      <c r="AU22" s="63">
        <v>0</v>
      </c>
      <c r="AV22" s="34">
        <v>319.3</v>
      </c>
      <c r="AW22" s="63">
        <v>0</v>
      </c>
      <c r="AX22" s="34">
        <v>0</v>
      </c>
      <c r="AY22" s="60">
        <v>0</v>
      </c>
      <c r="AZ22" s="34">
        <v>291.04000000000002</v>
      </c>
      <c r="BA22" s="59">
        <v>1540.83</v>
      </c>
      <c r="BB22" s="35">
        <v>910.15</v>
      </c>
      <c r="BC22" s="56">
        <v>64344.350000000079</v>
      </c>
      <c r="BD22" s="50">
        <v>-253.40999999999997</v>
      </c>
      <c r="BE22" s="45">
        <v>9094.6999999999989</v>
      </c>
      <c r="BF22" s="38">
        <v>294</v>
      </c>
      <c r="BG22" s="31">
        <v>326.19</v>
      </c>
      <c r="BH22" s="35">
        <v>674.69</v>
      </c>
      <c r="BI22" s="31">
        <v>316.57</v>
      </c>
      <c r="BJ22" s="19">
        <v>900.22</v>
      </c>
      <c r="BK22" s="7">
        <v>349.89</v>
      </c>
      <c r="BL22" s="20">
        <v>52099.850000000006</v>
      </c>
      <c r="BM22" s="7">
        <v>3417.59</v>
      </c>
      <c r="BN22" s="5"/>
      <c r="BO22" s="3" t="s">
        <v>1</v>
      </c>
    </row>
    <row r="23" spans="1:67" ht="15" thickBot="1" x14ac:dyDescent="0.35">
      <c r="A23" s="5"/>
      <c r="B23" s="3" t="s">
        <v>24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35">
        <v>0</v>
      </c>
      <c r="J23" s="35">
        <v>0</v>
      </c>
      <c r="K23" s="35">
        <v>0</v>
      </c>
      <c r="L23" s="35">
        <v>0</v>
      </c>
      <c r="M23" s="35">
        <v>0</v>
      </c>
      <c r="N23" s="35">
        <v>0</v>
      </c>
      <c r="O23" s="35">
        <v>181.79</v>
      </c>
      <c r="P23" s="35">
        <v>0</v>
      </c>
      <c r="Q23" s="35">
        <v>0</v>
      </c>
      <c r="R23" s="35">
        <v>0</v>
      </c>
      <c r="S23" s="35">
        <v>0</v>
      </c>
      <c r="T23" s="35">
        <v>0</v>
      </c>
      <c r="U23" s="35">
        <v>0</v>
      </c>
      <c r="V23" s="35">
        <v>0</v>
      </c>
      <c r="W23" s="35">
        <v>0</v>
      </c>
      <c r="X23" s="35">
        <v>0</v>
      </c>
      <c r="Y23" s="35">
        <v>0</v>
      </c>
      <c r="Z23" s="35">
        <v>0</v>
      </c>
      <c r="AA23" s="35">
        <v>45.36</v>
      </c>
      <c r="AB23" s="35">
        <v>50.53</v>
      </c>
      <c r="AC23" s="35">
        <v>0</v>
      </c>
      <c r="AD23" s="35">
        <v>0</v>
      </c>
      <c r="AE23" s="35">
        <v>0</v>
      </c>
      <c r="AF23" s="35">
        <v>0</v>
      </c>
      <c r="AG23" s="35">
        <v>0</v>
      </c>
      <c r="AH23" s="35">
        <v>226.1</v>
      </c>
      <c r="AI23" s="35">
        <v>164.74</v>
      </c>
      <c r="AJ23" s="36">
        <v>31.95</v>
      </c>
      <c r="AK23" s="115">
        <v>0</v>
      </c>
      <c r="AL23" s="36">
        <v>0</v>
      </c>
      <c r="AM23" s="115">
        <v>0</v>
      </c>
      <c r="AN23" s="36">
        <v>0</v>
      </c>
      <c r="AO23" s="109">
        <v>0</v>
      </c>
      <c r="AP23" s="36">
        <v>0</v>
      </c>
      <c r="AQ23" s="105">
        <v>0</v>
      </c>
      <c r="AR23" s="36"/>
      <c r="AS23" s="60"/>
      <c r="AT23" s="34"/>
      <c r="AU23" s="63"/>
      <c r="AV23" s="34"/>
      <c r="AW23" s="63"/>
      <c r="AX23" s="34"/>
      <c r="AY23" s="60"/>
      <c r="AZ23" s="34"/>
      <c r="BA23" s="59"/>
      <c r="BB23" s="35"/>
      <c r="BC23" s="56"/>
      <c r="BD23" s="50"/>
      <c r="BE23" s="45"/>
      <c r="BF23" s="38"/>
      <c r="BG23" s="31"/>
      <c r="BH23" s="35"/>
      <c r="BI23" s="31"/>
      <c r="BJ23" s="19"/>
      <c r="BK23" s="7"/>
      <c r="BL23" s="20"/>
      <c r="BM23" s="7"/>
      <c r="BN23" s="5"/>
      <c r="BO23" s="3"/>
    </row>
    <row r="24" spans="1:67" ht="15" thickBot="1" x14ac:dyDescent="0.35">
      <c r="A24" s="5"/>
      <c r="B24" s="3" t="s">
        <v>2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35">
        <v>0</v>
      </c>
      <c r="J24" s="35">
        <v>0</v>
      </c>
      <c r="K24" s="35">
        <v>0</v>
      </c>
      <c r="L24" s="35">
        <v>0</v>
      </c>
      <c r="M24" s="35">
        <v>0</v>
      </c>
      <c r="N24" s="35">
        <v>0</v>
      </c>
      <c r="O24" s="35">
        <v>0</v>
      </c>
      <c r="P24" s="35">
        <v>0</v>
      </c>
      <c r="Q24" s="35">
        <v>0</v>
      </c>
      <c r="R24" s="35">
        <v>0</v>
      </c>
      <c r="S24" s="35">
        <v>0</v>
      </c>
      <c r="T24" s="35">
        <v>0</v>
      </c>
      <c r="U24" s="35">
        <v>0</v>
      </c>
      <c r="V24" s="35">
        <v>0</v>
      </c>
      <c r="W24" s="35">
        <v>0</v>
      </c>
      <c r="X24" s="35">
        <v>0</v>
      </c>
      <c r="Y24" s="35">
        <v>0</v>
      </c>
      <c r="Z24" s="35">
        <v>0</v>
      </c>
      <c r="AA24" s="35">
        <v>0</v>
      </c>
      <c r="AB24" s="35">
        <v>0</v>
      </c>
      <c r="AC24" s="35">
        <v>0</v>
      </c>
      <c r="AD24" s="35">
        <v>0</v>
      </c>
      <c r="AE24" s="35">
        <v>0</v>
      </c>
      <c r="AF24" s="35">
        <v>0</v>
      </c>
      <c r="AG24" s="35">
        <v>0</v>
      </c>
      <c r="AH24" s="35">
        <v>0</v>
      </c>
      <c r="AI24" s="35">
        <v>0</v>
      </c>
      <c r="AJ24" s="36">
        <v>0</v>
      </c>
      <c r="AK24" s="115">
        <v>0</v>
      </c>
      <c r="AL24" s="36">
        <v>0</v>
      </c>
      <c r="AM24" s="115">
        <v>0</v>
      </c>
      <c r="AN24" s="36">
        <v>0</v>
      </c>
      <c r="AO24" s="109">
        <v>0</v>
      </c>
      <c r="AP24" s="36">
        <v>0</v>
      </c>
      <c r="AQ24" s="105">
        <v>0</v>
      </c>
      <c r="AR24" s="36">
        <v>0</v>
      </c>
      <c r="AS24" s="60">
        <v>0</v>
      </c>
      <c r="AT24" s="34">
        <v>0</v>
      </c>
      <c r="AU24" s="63">
        <v>0</v>
      </c>
      <c r="AV24" s="34">
        <v>0</v>
      </c>
      <c r="AW24" s="63">
        <v>0</v>
      </c>
      <c r="AX24" s="34">
        <v>0</v>
      </c>
      <c r="AY24" s="60">
        <v>0</v>
      </c>
      <c r="AZ24" s="34">
        <v>0</v>
      </c>
      <c r="BA24" s="59">
        <v>0</v>
      </c>
      <c r="BB24" s="50">
        <v>0</v>
      </c>
      <c r="BC24" s="57">
        <v>0</v>
      </c>
      <c r="BD24" s="53">
        <v>0</v>
      </c>
      <c r="BE24" s="45">
        <v>0</v>
      </c>
      <c r="BF24" s="38">
        <v>0</v>
      </c>
      <c r="BG24" s="31">
        <v>0</v>
      </c>
      <c r="BH24" s="36">
        <v>0</v>
      </c>
      <c r="BI24" s="31">
        <v>0</v>
      </c>
      <c r="BJ24" s="19">
        <v>112.54</v>
      </c>
      <c r="BK24" s="7">
        <v>0</v>
      </c>
      <c r="BL24" s="20">
        <v>0</v>
      </c>
      <c r="BM24" s="7">
        <v>0</v>
      </c>
      <c r="BN24" s="5"/>
      <c r="BO24" s="3" t="s">
        <v>2</v>
      </c>
    </row>
    <row r="25" spans="1:67" ht="15" thickBot="1" x14ac:dyDescent="0.35">
      <c r="A25" s="5" t="s">
        <v>19</v>
      </c>
      <c r="B25" s="3" t="s">
        <v>0</v>
      </c>
      <c r="C25" s="138">
        <v>-17.03</v>
      </c>
      <c r="D25" s="138">
        <v>280.86</v>
      </c>
      <c r="E25" s="138">
        <v>-11.99</v>
      </c>
      <c r="F25" s="35">
        <v>0</v>
      </c>
      <c r="G25" s="35">
        <v>0</v>
      </c>
      <c r="H25" s="35">
        <v>0</v>
      </c>
      <c r="I25" s="35">
        <v>0</v>
      </c>
      <c r="J25" s="35">
        <v>113.94</v>
      </c>
      <c r="K25" s="35">
        <v>304</v>
      </c>
      <c r="L25" s="35">
        <v>-11.21</v>
      </c>
      <c r="M25" s="35">
        <v>624.41</v>
      </c>
      <c r="N25" s="35">
        <v>574.02</v>
      </c>
      <c r="O25" s="35">
        <v>0</v>
      </c>
      <c r="P25" s="35">
        <v>-11.88</v>
      </c>
      <c r="Q25" s="35">
        <v>403.51</v>
      </c>
      <c r="R25" s="35">
        <v>876.41999999999985</v>
      </c>
      <c r="S25" s="35">
        <v>0</v>
      </c>
      <c r="T25" s="35">
        <v>0</v>
      </c>
      <c r="U25" s="35">
        <v>0</v>
      </c>
      <c r="V25" s="35">
        <v>0</v>
      </c>
      <c r="W25" s="35">
        <v>-181.07</v>
      </c>
      <c r="X25" s="35">
        <v>0</v>
      </c>
      <c r="Y25" s="35">
        <v>0</v>
      </c>
      <c r="Z25" s="35">
        <v>0</v>
      </c>
      <c r="AA25" s="35">
        <v>0</v>
      </c>
      <c r="AB25" s="35">
        <v>0</v>
      </c>
      <c r="AC25" s="35">
        <v>1201.96</v>
      </c>
      <c r="AD25" s="35">
        <v>12397.12</v>
      </c>
      <c r="AE25" s="35">
        <v>8913.4600000000009</v>
      </c>
      <c r="AF25" s="35">
        <v>0</v>
      </c>
      <c r="AG25" s="35">
        <v>0</v>
      </c>
      <c r="AH25" s="35">
        <v>0</v>
      </c>
      <c r="AI25" s="35">
        <v>0</v>
      </c>
      <c r="AJ25" s="36">
        <v>0</v>
      </c>
      <c r="AK25" s="115">
        <v>0</v>
      </c>
      <c r="AL25" s="36">
        <v>0</v>
      </c>
      <c r="AM25" s="115">
        <v>0</v>
      </c>
      <c r="AN25" s="36">
        <v>0</v>
      </c>
      <c r="AO25" s="109">
        <v>0</v>
      </c>
      <c r="AP25" s="36">
        <v>0</v>
      </c>
      <c r="AQ25" s="105">
        <v>0</v>
      </c>
      <c r="AR25" s="36">
        <v>740.25</v>
      </c>
      <c r="AS25" s="60">
        <v>4893.58</v>
      </c>
      <c r="AT25" s="34">
        <v>-150.32</v>
      </c>
      <c r="AU25" s="63">
        <v>0</v>
      </c>
      <c r="AV25" s="34">
        <v>2909.21</v>
      </c>
      <c r="AW25" s="63">
        <v>2229.29</v>
      </c>
      <c r="AX25" s="35">
        <v>4976.0300000000007</v>
      </c>
      <c r="AY25" s="60">
        <v>0</v>
      </c>
      <c r="AZ25" s="34">
        <v>0</v>
      </c>
      <c r="BA25" s="59">
        <v>2941.37</v>
      </c>
      <c r="BB25" s="35">
        <v>289.2</v>
      </c>
      <c r="BC25" s="56">
        <v>89815.100000000122</v>
      </c>
      <c r="BD25" s="50">
        <v>1238.52</v>
      </c>
      <c r="BE25" s="45">
        <v>0</v>
      </c>
      <c r="BF25" s="38">
        <v>874.95</v>
      </c>
      <c r="BG25" s="31">
        <v>-598.09</v>
      </c>
      <c r="BH25" s="35">
        <v>1159.8499999999999</v>
      </c>
      <c r="BI25" s="31">
        <v>0</v>
      </c>
      <c r="BJ25" s="19">
        <v>-120.99</v>
      </c>
      <c r="BK25" s="7">
        <v>3669.55</v>
      </c>
      <c r="BL25" s="20">
        <v>0</v>
      </c>
      <c r="BM25" s="7">
        <v>0</v>
      </c>
      <c r="BN25" s="5" t="s">
        <v>19</v>
      </c>
      <c r="BO25" s="3" t="s">
        <v>0</v>
      </c>
    </row>
    <row r="26" spans="1:67" ht="15" thickBot="1" x14ac:dyDescent="0.35">
      <c r="A26" s="5"/>
      <c r="B26" s="3" t="s">
        <v>24</v>
      </c>
      <c r="C26" s="138">
        <v>79.709999999999994</v>
      </c>
      <c r="D26" s="138">
        <v>55.92</v>
      </c>
      <c r="E26" s="35">
        <v>0</v>
      </c>
      <c r="F26" s="35"/>
      <c r="G26" s="35">
        <v>0</v>
      </c>
      <c r="H26" s="35">
        <v>0</v>
      </c>
      <c r="I26" s="35">
        <v>179.42</v>
      </c>
      <c r="J26" s="35">
        <v>0</v>
      </c>
      <c r="K26" s="35">
        <v>0</v>
      </c>
      <c r="L26" s="35">
        <v>147.56000000000003</v>
      </c>
      <c r="M26" s="35">
        <v>18.79</v>
      </c>
      <c r="N26" s="35">
        <v>202.58</v>
      </c>
      <c r="O26" s="35">
        <v>0</v>
      </c>
      <c r="P26" s="35">
        <v>16.880000000000003</v>
      </c>
      <c r="Q26" s="35">
        <v>47.92</v>
      </c>
      <c r="R26" s="35">
        <v>120.58</v>
      </c>
      <c r="S26" s="35">
        <v>0</v>
      </c>
      <c r="T26" s="35">
        <v>0</v>
      </c>
      <c r="U26" s="35">
        <v>0</v>
      </c>
      <c r="V26" s="35">
        <v>121.39</v>
      </c>
      <c r="W26" s="35">
        <v>87.86</v>
      </c>
      <c r="X26" s="35">
        <v>64.849999999999994</v>
      </c>
      <c r="Y26" s="35">
        <v>59.38</v>
      </c>
      <c r="Z26" s="35">
        <v>26.56</v>
      </c>
      <c r="AA26" s="35">
        <v>0</v>
      </c>
      <c r="AB26" s="35">
        <v>0</v>
      </c>
      <c r="AC26" s="35">
        <v>162.52000000000001</v>
      </c>
      <c r="AD26" s="35">
        <v>253.6</v>
      </c>
      <c r="AE26" s="35">
        <v>0</v>
      </c>
      <c r="AF26" s="35">
        <v>0</v>
      </c>
      <c r="AG26" s="35">
        <v>0</v>
      </c>
      <c r="AH26" s="35">
        <v>0</v>
      </c>
      <c r="AI26" s="35">
        <v>0</v>
      </c>
      <c r="AJ26" s="36">
        <v>0</v>
      </c>
      <c r="AK26" s="115">
        <v>0</v>
      </c>
      <c r="AL26" s="36">
        <v>0</v>
      </c>
      <c r="AM26" s="115">
        <v>0</v>
      </c>
      <c r="AN26" s="36">
        <v>0</v>
      </c>
      <c r="AO26" s="109">
        <v>0</v>
      </c>
      <c r="AP26" s="36">
        <v>0</v>
      </c>
      <c r="AQ26" s="105">
        <v>185.73000000000002</v>
      </c>
      <c r="AR26" s="36"/>
      <c r="AS26" s="60"/>
      <c r="AT26" s="34"/>
      <c r="AU26" s="63"/>
      <c r="AV26" s="34"/>
      <c r="AW26" s="63"/>
      <c r="AX26" s="35"/>
      <c r="AY26" s="60"/>
      <c r="AZ26" s="34"/>
      <c r="BA26" s="59"/>
      <c r="BB26" s="35"/>
      <c r="BC26" s="56"/>
      <c r="BD26" s="50"/>
      <c r="BE26" s="45"/>
      <c r="BF26" s="38"/>
      <c r="BG26" s="31"/>
      <c r="BH26" s="35"/>
      <c r="BI26" s="31"/>
      <c r="BJ26" s="19"/>
      <c r="BK26" s="7"/>
      <c r="BL26" s="20"/>
      <c r="BM26" s="7"/>
      <c r="BN26" s="5"/>
      <c r="BO26" s="3"/>
    </row>
    <row r="27" spans="1:67" ht="15" thickBot="1" x14ac:dyDescent="0.35">
      <c r="A27" s="5"/>
      <c r="B27" s="3" t="s">
        <v>1</v>
      </c>
      <c r="C27" s="138">
        <v>6752.42</v>
      </c>
      <c r="D27" s="138">
        <v>6025.5900000000011</v>
      </c>
      <c r="E27" s="138">
        <v>4206.3600000000006</v>
      </c>
      <c r="F27" s="138">
        <v>17725.080000000002</v>
      </c>
      <c r="G27" s="35"/>
      <c r="H27" s="35">
        <v>3082.7899999999991</v>
      </c>
      <c r="I27" s="35">
        <v>9835.0099999999984</v>
      </c>
      <c r="J27" s="35">
        <v>5059.1600000000017</v>
      </c>
      <c r="K27" s="35">
        <v>10356.65</v>
      </c>
      <c r="L27" s="35">
        <v>4341.5399999999991</v>
      </c>
      <c r="M27" s="35">
        <v>5344.25</v>
      </c>
      <c r="N27" s="35">
        <v>7379.31</v>
      </c>
      <c r="O27" s="35">
        <v>0</v>
      </c>
      <c r="P27" s="35">
        <v>2082.3999999999992</v>
      </c>
      <c r="Q27" s="35">
        <v>7873.670000000001</v>
      </c>
      <c r="R27" s="35">
        <v>7828.5999999999995</v>
      </c>
      <c r="S27" s="35">
        <v>6151.9800000000005</v>
      </c>
      <c r="T27" s="35">
        <v>0</v>
      </c>
      <c r="U27" s="35">
        <v>0</v>
      </c>
      <c r="V27" s="35">
        <v>6062.69</v>
      </c>
      <c r="W27" s="35">
        <v>13942.16</v>
      </c>
      <c r="X27" s="35">
        <v>2829.31</v>
      </c>
      <c r="Y27" s="35">
        <v>9503.5099999999984</v>
      </c>
      <c r="Z27" s="35">
        <v>5423.57</v>
      </c>
      <c r="AA27" s="35">
        <v>0</v>
      </c>
      <c r="AB27" s="35">
        <v>1148.0999999999999</v>
      </c>
      <c r="AC27" s="35">
        <v>7963.07</v>
      </c>
      <c r="AD27" s="35">
        <v>0</v>
      </c>
      <c r="AE27" s="35">
        <v>0</v>
      </c>
      <c r="AF27" s="35">
        <v>9127.7000000000007</v>
      </c>
      <c r="AG27" s="35">
        <v>0</v>
      </c>
      <c r="AH27" s="35">
        <v>0</v>
      </c>
      <c r="AI27" s="35">
        <v>4494.0300000000007</v>
      </c>
      <c r="AJ27" s="36">
        <v>0</v>
      </c>
      <c r="AK27" s="115">
        <v>0</v>
      </c>
      <c r="AL27" s="36">
        <v>0</v>
      </c>
      <c r="AM27" s="115">
        <v>0</v>
      </c>
      <c r="AN27" s="36">
        <v>5950.1299999999992</v>
      </c>
      <c r="AO27" s="109">
        <v>0</v>
      </c>
      <c r="AP27" s="36">
        <v>2546.79</v>
      </c>
      <c r="AQ27" s="105">
        <v>2764.8</v>
      </c>
      <c r="AR27" s="36">
        <v>1413.98</v>
      </c>
      <c r="AS27" s="60">
        <v>4573.96</v>
      </c>
      <c r="AT27" s="34">
        <v>3980.3</v>
      </c>
      <c r="AU27" s="63">
        <v>6858.8</v>
      </c>
      <c r="AV27" s="34">
        <v>0</v>
      </c>
      <c r="AW27" s="63">
        <v>0</v>
      </c>
      <c r="AX27" s="34">
        <v>0</v>
      </c>
      <c r="AY27" s="60">
        <v>2401.65</v>
      </c>
      <c r="AZ27" s="34">
        <v>3316.44</v>
      </c>
      <c r="BA27" s="59">
        <v>2438.04</v>
      </c>
      <c r="BB27" s="35">
        <v>0</v>
      </c>
      <c r="BC27" s="56">
        <v>93069.16</v>
      </c>
      <c r="BD27" s="50">
        <v>4671.2000000000007</v>
      </c>
      <c r="BE27" s="45">
        <v>4179.59</v>
      </c>
      <c r="BF27" s="38">
        <v>3021.9</v>
      </c>
      <c r="BG27" s="31">
        <v>2933.46</v>
      </c>
      <c r="BH27" s="35">
        <v>551.79999999999995</v>
      </c>
      <c r="BI27" s="31">
        <v>3272.61</v>
      </c>
      <c r="BJ27" s="19">
        <v>0</v>
      </c>
      <c r="BK27" s="7">
        <v>978.76</v>
      </c>
      <c r="BL27" s="20">
        <v>4544.21</v>
      </c>
      <c r="BM27" s="7">
        <v>1232.6099999999999</v>
      </c>
      <c r="BN27" s="5"/>
      <c r="BO27" s="3" t="s">
        <v>1</v>
      </c>
    </row>
    <row r="28" spans="1:67" ht="15" thickBot="1" x14ac:dyDescent="0.35">
      <c r="A28" s="5"/>
      <c r="B28" s="3" t="s">
        <v>142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35">
        <v>0</v>
      </c>
      <c r="J28" s="35">
        <v>0</v>
      </c>
      <c r="K28" s="35">
        <v>0</v>
      </c>
      <c r="L28" s="35">
        <v>1128.7099999999998</v>
      </c>
      <c r="M28" s="35">
        <v>-34.729999999999997</v>
      </c>
      <c r="N28" s="35">
        <v>34.729999999999997</v>
      </c>
      <c r="O28" s="35">
        <v>0</v>
      </c>
      <c r="P28" s="35">
        <v>0</v>
      </c>
      <c r="Q28" s="35">
        <v>0</v>
      </c>
      <c r="R28" s="35">
        <v>0</v>
      </c>
      <c r="S28" s="35">
        <v>0</v>
      </c>
      <c r="T28" s="35">
        <v>0</v>
      </c>
      <c r="U28" s="35">
        <v>0</v>
      </c>
      <c r="V28" s="35">
        <v>0</v>
      </c>
      <c r="W28" s="35">
        <v>0</v>
      </c>
      <c r="X28" s="35">
        <v>0</v>
      </c>
      <c r="Y28" s="35">
        <v>0</v>
      </c>
      <c r="Z28" s="35">
        <v>0</v>
      </c>
      <c r="AA28" s="35">
        <v>0</v>
      </c>
      <c r="AB28" s="35">
        <v>0</v>
      </c>
      <c r="AC28" s="35">
        <v>0</v>
      </c>
      <c r="AD28" s="35">
        <v>0</v>
      </c>
      <c r="AE28" s="35">
        <v>0</v>
      </c>
      <c r="AF28" s="35">
        <v>0</v>
      </c>
      <c r="AG28" s="35">
        <v>0</v>
      </c>
      <c r="AH28" s="35">
        <v>0</v>
      </c>
      <c r="AI28" s="35">
        <v>0</v>
      </c>
      <c r="AJ28" s="35">
        <v>0</v>
      </c>
      <c r="AK28" s="35">
        <v>0</v>
      </c>
      <c r="AL28" s="35">
        <v>0</v>
      </c>
      <c r="AM28" s="35">
        <v>0</v>
      </c>
      <c r="AN28" s="35">
        <v>0</v>
      </c>
      <c r="AO28" s="35">
        <v>0</v>
      </c>
      <c r="AP28" s="35">
        <v>0</v>
      </c>
      <c r="AQ28" s="35">
        <v>0</v>
      </c>
      <c r="AR28" s="35">
        <v>0</v>
      </c>
      <c r="AS28" s="35">
        <v>0</v>
      </c>
      <c r="AT28" s="35">
        <v>0</v>
      </c>
      <c r="AU28" s="35">
        <v>0</v>
      </c>
      <c r="AV28" s="35">
        <v>0</v>
      </c>
      <c r="AW28" s="35">
        <v>0</v>
      </c>
      <c r="AX28" s="35">
        <v>0</v>
      </c>
      <c r="AY28" s="35">
        <v>0</v>
      </c>
      <c r="AZ28" s="35">
        <v>0</v>
      </c>
      <c r="BA28" s="35">
        <v>0</v>
      </c>
      <c r="BB28" s="35">
        <v>0</v>
      </c>
      <c r="BC28" s="35">
        <v>0</v>
      </c>
      <c r="BD28" s="35">
        <v>0</v>
      </c>
      <c r="BE28" s="35">
        <v>0</v>
      </c>
      <c r="BF28" s="35">
        <v>0</v>
      </c>
      <c r="BG28" s="35">
        <v>0</v>
      </c>
      <c r="BH28" s="35">
        <v>0</v>
      </c>
      <c r="BI28" s="35">
        <v>0</v>
      </c>
      <c r="BJ28" s="35">
        <v>0</v>
      </c>
      <c r="BK28" s="35">
        <v>0</v>
      </c>
      <c r="BL28" s="35">
        <v>0</v>
      </c>
      <c r="BM28" s="35">
        <v>0</v>
      </c>
      <c r="BN28" s="5"/>
      <c r="BO28" s="3" t="s">
        <v>142</v>
      </c>
    </row>
    <row r="29" spans="1:67" ht="15" thickBot="1" x14ac:dyDescent="0.35">
      <c r="A29" s="5"/>
      <c r="B29" s="3" t="s">
        <v>2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35">
        <v>0</v>
      </c>
      <c r="J29" s="35">
        <v>0</v>
      </c>
      <c r="K29" s="35">
        <v>0</v>
      </c>
      <c r="L29" s="35">
        <v>0</v>
      </c>
      <c r="M29" s="35">
        <v>0</v>
      </c>
      <c r="N29" s="35">
        <v>0</v>
      </c>
      <c r="O29" s="35">
        <v>0</v>
      </c>
      <c r="P29" s="35">
        <v>0</v>
      </c>
      <c r="Q29" s="35">
        <v>0</v>
      </c>
      <c r="R29" s="35">
        <v>0</v>
      </c>
      <c r="S29" s="35">
        <v>0</v>
      </c>
      <c r="T29" s="35">
        <v>0</v>
      </c>
      <c r="U29" s="35">
        <v>0</v>
      </c>
      <c r="V29" s="35">
        <v>0</v>
      </c>
      <c r="W29" s="35">
        <v>0</v>
      </c>
      <c r="X29" s="35">
        <v>0</v>
      </c>
      <c r="Y29" s="35">
        <v>0</v>
      </c>
      <c r="Z29" s="35">
        <v>0</v>
      </c>
      <c r="AA29" s="35">
        <v>0</v>
      </c>
      <c r="AB29" s="35">
        <v>0</v>
      </c>
      <c r="AC29" s="35">
        <v>0</v>
      </c>
      <c r="AD29" s="35">
        <v>0</v>
      </c>
      <c r="AE29" s="35">
        <v>0</v>
      </c>
      <c r="AF29" s="35">
        <v>0</v>
      </c>
      <c r="AG29" s="35">
        <v>0</v>
      </c>
      <c r="AH29" s="35">
        <v>0</v>
      </c>
      <c r="AI29" s="35">
        <v>0</v>
      </c>
      <c r="AJ29" s="36">
        <v>0</v>
      </c>
      <c r="AK29" s="115">
        <v>0</v>
      </c>
      <c r="AL29" s="36">
        <v>0</v>
      </c>
      <c r="AM29" s="115">
        <v>0</v>
      </c>
      <c r="AN29" s="36">
        <v>0</v>
      </c>
      <c r="AO29" s="109">
        <v>0</v>
      </c>
      <c r="AP29" s="36">
        <v>0</v>
      </c>
      <c r="AQ29" s="105">
        <v>0</v>
      </c>
      <c r="AR29" s="36">
        <v>0</v>
      </c>
      <c r="AS29" s="60">
        <v>408.08</v>
      </c>
      <c r="AT29" s="34">
        <v>0</v>
      </c>
      <c r="AU29" s="63">
        <v>0</v>
      </c>
      <c r="AV29" s="34">
        <v>0</v>
      </c>
      <c r="AW29" s="63">
        <v>0</v>
      </c>
      <c r="AX29" s="34">
        <v>0</v>
      </c>
      <c r="AY29" s="60">
        <v>0</v>
      </c>
      <c r="AZ29" s="34">
        <v>0</v>
      </c>
      <c r="BA29" s="59">
        <v>0</v>
      </c>
      <c r="BB29" s="50">
        <v>0</v>
      </c>
      <c r="BC29" s="57">
        <v>0</v>
      </c>
      <c r="BD29" s="53">
        <v>0</v>
      </c>
      <c r="BE29" s="45">
        <v>0</v>
      </c>
      <c r="BF29" s="38">
        <v>0</v>
      </c>
      <c r="BG29" s="31">
        <v>0</v>
      </c>
      <c r="BH29" s="36">
        <v>0</v>
      </c>
      <c r="BI29" s="31">
        <v>0</v>
      </c>
      <c r="BJ29" s="19">
        <v>0</v>
      </c>
      <c r="BK29" s="7">
        <v>0</v>
      </c>
      <c r="BL29" s="20">
        <v>0</v>
      </c>
      <c r="BM29" s="7">
        <v>124.88</v>
      </c>
      <c r="BN29" s="5"/>
      <c r="BO29" s="3" t="s">
        <v>2</v>
      </c>
    </row>
    <row r="30" spans="1:67" ht="15" thickBot="1" x14ac:dyDescent="0.35">
      <c r="A30" s="5"/>
      <c r="B30" s="3" t="s">
        <v>24</v>
      </c>
      <c r="C30" s="35">
        <v>0</v>
      </c>
      <c r="D30" s="35">
        <v>0</v>
      </c>
      <c r="E30" s="138">
        <v>125.25</v>
      </c>
      <c r="F30" s="138">
        <v>59.540000000000013</v>
      </c>
      <c r="G30" s="35">
        <v>-4.47</v>
      </c>
      <c r="H30" s="35">
        <v>0</v>
      </c>
      <c r="I30" s="35">
        <v>0</v>
      </c>
      <c r="J30" s="35">
        <v>24.970000000000002</v>
      </c>
      <c r="K30" s="35">
        <v>98.02</v>
      </c>
      <c r="L30" s="35">
        <v>0</v>
      </c>
      <c r="M30" s="35">
        <v>0</v>
      </c>
      <c r="N30" s="35">
        <v>0</v>
      </c>
      <c r="O30" s="35">
        <v>0</v>
      </c>
      <c r="P30" s="35">
        <v>0</v>
      </c>
      <c r="Q30" s="35">
        <v>0</v>
      </c>
      <c r="R30" s="35">
        <v>0</v>
      </c>
      <c r="S30" s="35">
        <v>94.08</v>
      </c>
      <c r="T30" s="35">
        <v>0</v>
      </c>
      <c r="U30" s="35">
        <v>0</v>
      </c>
      <c r="V30" s="35">
        <v>0</v>
      </c>
      <c r="W30" s="35">
        <v>0</v>
      </c>
      <c r="X30" s="35">
        <v>0</v>
      </c>
      <c r="Y30" s="35">
        <v>0</v>
      </c>
      <c r="Z30" s="35">
        <v>0</v>
      </c>
      <c r="AA30" s="35">
        <v>0</v>
      </c>
      <c r="AB30" s="35">
        <v>0</v>
      </c>
      <c r="AC30" s="35">
        <v>0</v>
      </c>
      <c r="AD30" s="35">
        <v>0</v>
      </c>
      <c r="AE30" s="35">
        <v>0</v>
      </c>
      <c r="AF30" s="35">
        <v>0</v>
      </c>
      <c r="AG30" s="35">
        <v>0</v>
      </c>
      <c r="AH30" s="35">
        <v>0</v>
      </c>
      <c r="AI30" s="35">
        <v>0</v>
      </c>
      <c r="AJ30" s="36">
        <v>0</v>
      </c>
      <c r="AK30" s="115">
        <v>0</v>
      </c>
      <c r="AL30" s="36">
        <v>0</v>
      </c>
      <c r="AM30" s="115">
        <v>0</v>
      </c>
      <c r="AN30" s="36">
        <v>84.32</v>
      </c>
      <c r="AO30" s="109">
        <v>0</v>
      </c>
      <c r="AP30" s="36">
        <v>0</v>
      </c>
      <c r="AQ30" s="105">
        <v>0</v>
      </c>
      <c r="AR30" s="36">
        <v>30.15</v>
      </c>
      <c r="AS30" s="60">
        <v>0</v>
      </c>
      <c r="AT30" s="34">
        <v>232.59</v>
      </c>
      <c r="AU30" s="63">
        <v>368.94</v>
      </c>
      <c r="AV30" s="34">
        <v>36.1</v>
      </c>
      <c r="AW30" s="63">
        <v>466.56</v>
      </c>
      <c r="AX30" s="35">
        <v>12.42</v>
      </c>
      <c r="AY30" s="60"/>
      <c r="AZ30" s="34"/>
      <c r="BA30" s="59"/>
      <c r="BB30" s="50"/>
      <c r="BC30" s="57"/>
      <c r="BD30" s="50"/>
      <c r="BE30" s="45"/>
      <c r="BF30" s="38"/>
      <c r="BG30" s="31"/>
      <c r="BH30" s="35"/>
      <c r="BI30" s="31"/>
      <c r="BJ30" s="19"/>
      <c r="BK30" s="7"/>
      <c r="BL30" s="20"/>
      <c r="BM30" s="7"/>
      <c r="BN30" s="5"/>
      <c r="BO30" s="3" t="s">
        <v>24</v>
      </c>
    </row>
    <row r="31" spans="1:67" ht="15" thickBot="1" x14ac:dyDescent="0.35">
      <c r="A31" s="5" t="s">
        <v>18</v>
      </c>
      <c r="B31" s="3" t="s">
        <v>0</v>
      </c>
      <c r="C31" s="138">
        <v>4029.3499999999995</v>
      </c>
      <c r="D31" s="138">
        <v>-1400.8300000000008</v>
      </c>
      <c r="E31" s="138">
        <v>676.04000000000019</v>
      </c>
      <c r="F31" s="138">
        <v>1863.1800000000007</v>
      </c>
      <c r="G31" s="35">
        <v>867.87999999999988</v>
      </c>
      <c r="H31" s="35">
        <v>4913.0599999999959</v>
      </c>
      <c r="I31" s="35">
        <v>-1285.26</v>
      </c>
      <c r="J31" s="35">
        <v>517.6400000000001</v>
      </c>
      <c r="K31" s="35">
        <v>2608.9100000000003</v>
      </c>
      <c r="L31" s="35">
        <v>5843.2999999999993</v>
      </c>
      <c r="M31" s="35">
        <v>15809.320000000022</v>
      </c>
      <c r="N31" s="35">
        <v>2471.3000000000002</v>
      </c>
      <c r="O31" s="35">
        <v>25832.85</v>
      </c>
      <c r="P31" s="35">
        <v>33554.719999999848</v>
      </c>
      <c r="Q31" s="35">
        <v>42211.51000000006</v>
      </c>
      <c r="R31" s="35">
        <v>26946.649999999987</v>
      </c>
      <c r="S31" s="35">
        <v>16242.689999999966</v>
      </c>
      <c r="T31" s="35">
        <v>54211.129999999881</v>
      </c>
      <c r="U31" s="35">
        <v>6782.3</v>
      </c>
      <c r="V31" s="35">
        <v>4943.16</v>
      </c>
      <c r="W31" s="35">
        <v>20571.98</v>
      </c>
      <c r="X31" s="35">
        <v>296.26</v>
      </c>
      <c r="Y31" s="35">
        <v>18010.860000000015</v>
      </c>
      <c r="Z31" s="35">
        <v>4277.46</v>
      </c>
      <c r="AA31" s="35">
        <v>5302.83</v>
      </c>
      <c r="AB31" s="35">
        <v>2922.38</v>
      </c>
      <c r="AC31" s="35">
        <v>3335.09</v>
      </c>
      <c r="AD31" s="35">
        <v>4863.74</v>
      </c>
      <c r="AE31" s="35">
        <v>3412.4799999999991</v>
      </c>
      <c r="AF31" s="35">
        <v>3684.82</v>
      </c>
      <c r="AG31" s="35">
        <v>2048.4</v>
      </c>
      <c r="AH31" s="35">
        <v>3064.12</v>
      </c>
      <c r="AI31" s="35">
        <v>2387.84</v>
      </c>
      <c r="AJ31" s="36">
        <v>4644.59</v>
      </c>
      <c r="AK31" s="115">
        <v>3755.6100000000015</v>
      </c>
      <c r="AL31" s="36">
        <v>9885.39</v>
      </c>
      <c r="AM31" s="115">
        <v>17029.979999999981</v>
      </c>
      <c r="AN31" s="36">
        <v>9872.1200000000008</v>
      </c>
      <c r="AO31" s="108">
        <v>27739.259999999904</v>
      </c>
      <c r="AP31" s="36">
        <v>15259.66</v>
      </c>
      <c r="AQ31" s="105">
        <v>12964.709999999995</v>
      </c>
      <c r="AR31" s="36">
        <v>9137.25</v>
      </c>
      <c r="AS31" s="60">
        <v>26586.61000000007</v>
      </c>
      <c r="AT31" s="34">
        <v>11348.199999999997</v>
      </c>
      <c r="AU31" s="63">
        <v>5034.4099999999489</v>
      </c>
      <c r="AV31" s="34">
        <v>7926.73</v>
      </c>
      <c r="AW31" s="63">
        <v>3497.25</v>
      </c>
      <c r="AX31" s="35">
        <v>13309.909999999994</v>
      </c>
      <c r="AY31" s="60">
        <v>12551.64</v>
      </c>
      <c r="AZ31" s="34">
        <v>11095.609999999997</v>
      </c>
      <c r="BA31" s="59">
        <v>17150.259999999998</v>
      </c>
      <c r="BB31" s="35">
        <v>16999.099999999988</v>
      </c>
      <c r="BC31" s="56">
        <v>18173.22</v>
      </c>
      <c r="BD31" s="50">
        <v>24343.920000000002</v>
      </c>
      <c r="BE31" s="45">
        <v>20329.989999999962</v>
      </c>
      <c r="BF31" s="38">
        <v>35713.599999999999</v>
      </c>
      <c r="BG31" s="31">
        <v>17536.47</v>
      </c>
      <c r="BH31" s="35">
        <v>15988.949999999968</v>
      </c>
      <c r="BI31" s="31">
        <v>27126.099999999988</v>
      </c>
      <c r="BJ31" s="19">
        <v>12033.040000000003</v>
      </c>
      <c r="BK31" s="7">
        <v>10503.449999999999</v>
      </c>
      <c r="BL31" s="20">
        <v>12162.239999999998</v>
      </c>
      <c r="BM31" s="7">
        <v>18119.069999999992</v>
      </c>
      <c r="BN31" s="5" t="s">
        <v>18</v>
      </c>
      <c r="BO31" s="3" t="s">
        <v>0</v>
      </c>
    </row>
    <row r="32" spans="1:67" ht="15" thickBot="1" x14ac:dyDescent="0.35">
      <c r="A32" s="5"/>
      <c r="B32" s="3" t="s">
        <v>1</v>
      </c>
      <c r="C32" s="138">
        <v>20749.419999999998</v>
      </c>
      <c r="D32" s="138">
        <v>-13228.34999999998</v>
      </c>
      <c r="E32" s="138">
        <v>9495.9700000000012</v>
      </c>
      <c r="F32" s="138">
        <v>9600.7100000000028</v>
      </c>
      <c r="G32" s="35">
        <v>5517.9399999999987</v>
      </c>
      <c r="H32" s="35">
        <v>13590.729999999998</v>
      </c>
      <c r="I32" s="35">
        <v>-2605.1000000000013</v>
      </c>
      <c r="J32" s="35">
        <v>8514.989999999998</v>
      </c>
      <c r="K32" s="35">
        <v>5082.1299999999983</v>
      </c>
      <c r="L32" s="35">
        <v>29512.549999999988</v>
      </c>
      <c r="M32" s="35">
        <v>24596.36000000007</v>
      </c>
      <c r="N32" s="35">
        <v>6990.17</v>
      </c>
      <c r="O32" s="35">
        <v>21009.130000000026</v>
      </c>
      <c r="P32" s="35">
        <v>14913.620000000017</v>
      </c>
      <c r="Q32" s="35">
        <v>22971.329999999994</v>
      </c>
      <c r="R32" s="35">
        <v>14969.72999999999</v>
      </c>
      <c r="S32" s="35">
        <v>16868.130000000012</v>
      </c>
      <c r="T32" s="35">
        <v>40940.560000000078</v>
      </c>
      <c r="U32" s="35">
        <v>14583.42</v>
      </c>
      <c r="V32" s="35">
        <v>11650.96</v>
      </c>
      <c r="W32" s="35">
        <v>10785.3</v>
      </c>
      <c r="X32" s="35">
        <v>11228.58</v>
      </c>
      <c r="Y32" s="35">
        <v>15063.060000000001</v>
      </c>
      <c r="Z32" s="35">
        <v>17558.419999999998</v>
      </c>
      <c r="AA32" s="35">
        <v>8260.23</v>
      </c>
      <c r="AB32" s="35">
        <v>4534.63</v>
      </c>
      <c r="AC32" s="35">
        <v>8888.76</v>
      </c>
      <c r="AD32" s="35">
        <v>14074.91</v>
      </c>
      <c r="AE32" s="35">
        <v>7959.88</v>
      </c>
      <c r="AF32" s="35">
        <v>11240.87</v>
      </c>
      <c r="AG32" s="35">
        <v>15531.47</v>
      </c>
      <c r="AH32" s="35">
        <v>11023.26</v>
      </c>
      <c r="AI32" s="35">
        <v>12387.330000000002</v>
      </c>
      <c r="AJ32" s="36">
        <v>10073.89</v>
      </c>
      <c r="AK32" s="115">
        <v>13201.379999999997</v>
      </c>
      <c r="AL32" s="36">
        <v>5872.77</v>
      </c>
      <c r="AM32" s="115">
        <v>10037.43</v>
      </c>
      <c r="AN32" s="36">
        <v>5696.95</v>
      </c>
      <c r="AO32" s="108">
        <v>20281.599999999995</v>
      </c>
      <c r="AP32" s="36">
        <v>4378.6000000000004</v>
      </c>
      <c r="AQ32" s="105">
        <v>9495.6199999999953</v>
      </c>
      <c r="AR32" s="36">
        <v>8194.93</v>
      </c>
      <c r="AS32" s="60">
        <v>9744.649999999996</v>
      </c>
      <c r="AT32" s="34">
        <v>5643.9999999999973</v>
      </c>
      <c r="AU32" s="63">
        <v>7864.4900000000016</v>
      </c>
      <c r="AV32" s="34">
        <v>6530.04</v>
      </c>
      <c r="AW32" s="63">
        <v>6294.96</v>
      </c>
      <c r="AX32" s="35">
        <v>12299.570000000003</v>
      </c>
      <c r="AY32" s="60">
        <v>15675.38</v>
      </c>
      <c r="AZ32" s="34">
        <v>17860.770000000008</v>
      </c>
      <c r="BA32" s="59">
        <v>2995.9</v>
      </c>
      <c r="BB32" s="35">
        <v>16922.400000000001</v>
      </c>
      <c r="BC32" s="56">
        <v>15730.299999999992</v>
      </c>
      <c r="BD32" s="50">
        <v>18006.189999999995</v>
      </c>
      <c r="BE32" s="45">
        <v>25182.029999999992</v>
      </c>
      <c r="BF32" s="38">
        <v>20591.099999999999</v>
      </c>
      <c r="BG32" s="31">
        <v>18569.79</v>
      </c>
      <c r="BH32" s="35">
        <v>6970.9500000000007</v>
      </c>
      <c r="BI32" s="31">
        <v>20605.199999999986</v>
      </c>
      <c r="BJ32" s="19">
        <v>6310.8200000000033</v>
      </c>
      <c r="BK32" s="7">
        <v>9495.7099999999937</v>
      </c>
      <c r="BL32" s="20">
        <v>14081.880000000003</v>
      </c>
      <c r="BM32" s="7">
        <v>11893.460000000006</v>
      </c>
      <c r="BN32" s="5"/>
      <c r="BO32" s="3" t="s">
        <v>1</v>
      </c>
    </row>
    <row r="33" spans="1:67" ht="15" thickBot="1" x14ac:dyDescent="0.35">
      <c r="A33" s="5"/>
      <c r="B33" s="3" t="s">
        <v>2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35">
        <v>0</v>
      </c>
      <c r="J33" s="35">
        <v>0</v>
      </c>
      <c r="K33" s="35">
        <v>0</v>
      </c>
      <c r="L33" s="35">
        <v>0</v>
      </c>
      <c r="M33" s="35">
        <v>0</v>
      </c>
      <c r="N33" s="35">
        <v>0</v>
      </c>
      <c r="O33" s="35">
        <v>0</v>
      </c>
      <c r="P33" s="35">
        <v>0</v>
      </c>
      <c r="Q33" s="35">
        <v>0</v>
      </c>
      <c r="R33" s="35">
        <v>0</v>
      </c>
      <c r="S33" s="35">
        <v>0</v>
      </c>
      <c r="T33" s="35">
        <v>0</v>
      </c>
      <c r="U33" s="35">
        <v>0</v>
      </c>
      <c r="V33" s="35">
        <v>0</v>
      </c>
      <c r="W33" s="35">
        <v>0</v>
      </c>
      <c r="X33" s="35">
        <v>0</v>
      </c>
      <c r="Y33" s="35">
        <v>0</v>
      </c>
      <c r="Z33" s="35">
        <v>0</v>
      </c>
      <c r="AA33" s="35">
        <v>0</v>
      </c>
      <c r="AB33" s="35">
        <v>0</v>
      </c>
      <c r="AC33" s="35">
        <v>0</v>
      </c>
      <c r="AD33" s="35">
        <v>0</v>
      </c>
      <c r="AE33" s="35">
        <v>0</v>
      </c>
      <c r="AF33" s="35">
        <v>0</v>
      </c>
      <c r="AG33" s="35">
        <v>0</v>
      </c>
      <c r="AH33" s="35">
        <v>0</v>
      </c>
      <c r="AI33" s="35">
        <v>0</v>
      </c>
      <c r="AJ33" s="36">
        <v>0</v>
      </c>
      <c r="AK33" s="115">
        <v>0</v>
      </c>
      <c r="AL33" s="36">
        <v>0</v>
      </c>
      <c r="AM33" s="115">
        <v>0</v>
      </c>
      <c r="AN33" s="36">
        <v>0</v>
      </c>
      <c r="AO33" s="109">
        <v>0</v>
      </c>
      <c r="AP33" s="36">
        <v>0</v>
      </c>
      <c r="AQ33" s="105">
        <v>0</v>
      </c>
      <c r="AR33" s="36">
        <v>0</v>
      </c>
      <c r="AS33" s="60">
        <v>0</v>
      </c>
      <c r="AT33" s="34">
        <v>0</v>
      </c>
      <c r="AU33" s="63">
        <v>0</v>
      </c>
      <c r="AV33" s="34">
        <v>0</v>
      </c>
      <c r="AW33" s="63">
        <v>0</v>
      </c>
      <c r="AX33" s="34">
        <v>0</v>
      </c>
      <c r="AY33" s="60">
        <v>0</v>
      </c>
      <c r="AZ33" s="34">
        <v>0</v>
      </c>
      <c r="BA33" s="59">
        <v>0</v>
      </c>
      <c r="BB33" s="50">
        <v>0</v>
      </c>
      <c r="BC33" s="57">
        <v>0</v>
      </c>
      <c r="BD33" s="53">
        <v>0</v>
      </c>
      <c r="BE33" s="49">
        <v>0</v>
      </c>
      <c r="BF33" s="38">
        <v>0</v>
      </c>
      <c r="BG33" s="31">
        <v>0</v>
      </c>
      <c r="BH33" s="36">
        <v>0</v>
      </c>
      <c r="BI33" s="31">
        <v>0</v>
      </c>
      <c r="BJ33" s="19">
        <v>0</v>
      </c>
      <c r="BK33" s="7">
        <v>0</v>
      </c>
      <c r="BL33" s="20">
        <v>0</v>
      </c>
      <c r="BM33" s="7">
        <v>0</v>
      </c>
      <c r="BN33" s="5"/>
      <c r="BO33" s="3" t="s">
        <v>2</v>
      </c>
    </row>
    <row r="34" spans="1:67" x14ac:dyDescent="0.3">
      <c r="A34" s="73" t="s">
        <v>143</v>
      </c>
      <c r="B34" s="84"/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35">
        <v>0</v>
      </c>
      <c r="J34" s="35">
        <v>0</v>
      </c>
      <c r="K34" s="35">
        <v>0</v>
      </c>
      <c r="L34" s="35">
        <v>0</v>
      </c>
      <c r="M34" s="35">
        <v>0</v>
      </c>
      <c r="N34" s="35">
        <v>0</v>
      </c>
      <c r="O34" s="35">
        <v>0</v>
      </c>
      <c r="P34" s="35">
        <v>0</v>
      </c>
      <c r="Q34" s="35">
        <v>0</v>
      </c>
      <c r="R34" s="35">
        <v>0</v>
      </c>
      <c r="S34" s="35">
        <v>0</v>
      </c>
      <c r="T34" s="35">
        <v>0</v>
      </c>
      <c r="U34" s="35">
        <v>0</v>
      </c>
      <c r="V34" s="35">
        <v>0</v>
      </c>
      <c r="W34" s="35">
        <v>0</v>
      </c>
      <c r="X34" s="35">
        <v>0</v>
      </c>
      <c r="Y34" s="35">
        <v>0</v>
      </c>
      <c r="Z34" s="35">
        <v>0</v>
      </c>
      <c r="AA34" s="35">
        <v>0</v>
      </c>
      <c r="AB34" s="35">
        <v>0</v>
      </c>
      <c r="AC34" s="35">
        <v>53.13</v>
      </c>
      <c r="AD34" s="35">
        <v>53.5</v>
      </c>
      <c r="AE34" s="35">
        <v>0</v>
      </c>
      <c r="AF34" s="35">
        <v>0</v>
      </c>
      <c r="AG34" s="35">
        <v>107</v>
      </c>
      <c r="AH34" s="35">
        <v>53.5</v>
      </c>
      <c r="AI34" s="35">
        <v>53.5</v>
      </c>
      <c r="AJ34" s="103">
        <v>0</v>
      </c>
      <c r="AK34" s="117">
        <v>0</v>
      </c>
      <c r="AL34" s="36">
        <v>0</v>
      </c>
      <c r="AM34" s="115">
        <v>0</v>
      </c>
      <c r="AN34" s="103">
        <v>0</v>
      </c>
      <c r="AO34" s="110">
        <v>0</v>
      </c>
      <c r="AP34" s="36">
        <v>0</v>
      </c>
      <c r="AQ34" s="106">
        <v>54</v>
      </c>
      <c r="AR34" s="74">
        <v>106</v>
      </c>
      <c r="AS34" s="83"/>
      <c r="AT34" s="74"/>
      <c r="AU34" s="83"/>
      <c r="AV34" s="74"/>
      <c r="AW34" s="83"/>
      <c r="AX34" s="74"/>
      <c r="AY34" s="83"/>
      <c r="AZ34" s="74"/>
      <c r="BA34" s="82"/>
      <c r="BB34" s="80"/>
      <c r="BC34" s="81"/>
      <c r="BD34" s="80"/>
      <c r="BE34" s="79"/>
      <c r="BF34" s="78"/>
      <c r="BG34" s="77"/>
      <c r="BH34" s="74"/>
      <c r="BI34" s="77"/>
      <c r="BJ34" s="76"/>
      <c r="BK34" s="74"/>
      <c r="BL34" s="75"/>
      <c r="BM34" s="74"/>
      <c r="BN34" s="72" t="s">
        <v>144</v>
      </c>
      <c r="BO34" s="73" t="s">
        <v>145</v>
      </c>
    </row>
    <row r="35" spans="1:67" ht="15" thickBot="1" x14ac:dyDescent="0.35">
      <c r="A35" s="86" t="s">
        <v>150</v>
      </c>
      <c r="B35" s="97"/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35">
        <v>0</v>
      </c>
      <c r="J35" s="35">
        <v>0</v>
      </c>
      <c r="K35" s="35">
        <v>0</v>
      </c>
      <c r="L35" s="35">
        <v>0</v>
      </c>
      <c r="M35" s="35">
        <v>0</v>
      </c>
      <c r="N35" s="35">
        <v>0</v>
      </c>
      <c r="O35" s="35">
        <v>0</v>
      </c>
      <c r="P35" s="35">
        <v>0</v>
      </c>
      <c r="Q35" s="35">
        <v>0</v>
      </c>
      <c r="R35" s="35">
        <v>0</v>
      </c>
      <c r="S35" s="35">
        <v>0</v>
      </c>
      <c r="T35" s="35">
        <v>0</v>
      </c>
      <c r="U35" s="35">
        <v>0</v>
      </c>
      <c r="V35" s="35">
        <v>0</v>
      </c>
      <c r="W35" s="35">
        <v>0</v>
      </c>
      <c r="X35" s="35">
        <v>0</v>
      </c>
      <c r="Y35" s="35">
        <v>0</v>
      </c>
      <c r="Z35" s="35">
        <v>0</v>
      </c>
      <c r="AA35" s="35">
        <v>0</v>
      </c>
      <c r="AB35" s="35">
        <v>0</v>
      </c>
      <c r="AC35" s="35">
        <v>0</v>
      </c>
      <c r="AD35" s="35">
        <v>0</v>
      </c>
      <c r="AE35" s="35">
        <v>0</v>
      </c>
      <c r="AF35" s="35">
        <v>0</v>
      </c>
      <c r="AG35" s="35">
        <v>0</v>
      </c>
      <c r="AH35" s="35">
        <v>0</v>
      </c>
      <c r="AI35" s="35">
        <v>0</v>
      </c>
      <c r="AJ35" s="104">
        <v>-167</v>
      </c>
      <c r="AK35" s="118">
        <v>-4956</v>
      </c>
      <c r="AL35" s="36">
        <v>0</v>
      </c>
      <c r="AM35" s="115">
        <v>0</v>
      </c>
      <c r="AN35" s="104">
        <v>0</v>
      </c>
      <c r="AO35" s="111">
        <v>0</v>
      </c>
      <c r="AP35" s="36">
        <v>0</v>
      </c>
      <c r="AQ35" s="107">
        <v>-1570</v>
      </c>
      <c r="AR35" s="87"/>
      <c r="AS35" s="96"/>
      <c r="AT35" s="87"/>
      <c r="AU35" s="96"/>
      <c r="AV35" s="87"/>
      <c r="AW35" s="96"/>
      <c r="AX35" s="87"/>
      <c r="AY35" s="96"/>
      <c r="AZ35" s="87"/>
      <c r="BA35" s="95"/>
      <c r="BB35" s="93"/>
      <c r="BC35" s="94"/>
      <c r="BD35" s="93"/>
      <c r="BE35" s="92"/>
      <c r="BF35" s="91"/>
      <c r="BG35" s="90"/>
      <c r="BH35" s="87"/>
      <c r="BI35" s="90"/>
      <c r="BJ35" s="89"/>
      <c r="BK35" s="87"/>
      <c r="BL35" s="88"/>
      <c r="BM35" s="87"/>
      <c r="BN35" s="85" t="s">
        <v>151</v>
      </c>
      <c r="BO35" s="86"/>
    </row>
    <row r="36" spans="1:67" ht="16.8" thickTop="1" thickBot="1" x14ac:dyDescent="0.35">
      <c r="C36" s="98">
        <f t="shared" ref="C36" si="0">SUM(C5:C35)</f>
        <v>1352993.0599999607</v>
      </c>
      <c r="D36" s="98">
        <f t="shared" ref="D36:AQ36" si="1">SUM(D5:D35)</f>
        <v>1378454.3800000339</v>
      </c>
      <c r="E36" s="98">
        <f t="shared" si="1"/>
        <v>1396059.9700000389</v>
      </c>
      <c r="F36" s="98">
        <f t="shared" si="1"/>
        <v>1494571.3400000338</v>
      </c>
      <c r="G36" s="98">
        <f t="shared" si="1"/>
        <v>1458469.7500000396</v>
      </c>
      <c r="H36" s="98">
        <f t="shared" si="1"/>
        <v>1584305.0800000003</v>
      </c>
      <c r="I36" s="98">
        <f t="shared" si="1"/>
        <v>1532831.7400000272</v>
      </c>
      <c r="J36" s="98">
        <f t="shared" si="1"/>
        <v>1542335.670000039</v>
      </c>
      <c r="K36" s="98">
        <f t="shared" si="1"/>
        <v>1567727.8800000262</v>
      </c>
      <c r="L36" s="98">
        <f t="shared" si="1"/>
        <v>1550174.5800000413</v>
      </c>
      <c r="M36" s="98">
        <f t="shared" si="1"/>
        <v>1533646.6900000491</v>
      </c>
      <c r="N36" s="98">
        <f t="shared" si="1"/>
        <v>1561777.1500000041</v>
      </c>
      <c r="O36" s="98">
        <f t="shared" si="1"/>
        <v>1500958.5900000192</v>
      </c>
      <c r="P36" s="98">
        <f t="shared" si="1"/>
        <v>1594611.7200000007</v>
      </c>
      <c r="Q36" s="98">
        <f t="shared" si="1"/>
        <v>1586204.0300000198</v>
      </c>
      <c r="R36" s="98">
        <f t="shared" si="1"/>
        <v>1545657.5599999956</v>
      </c>
      <c r="S36" s="98">
        <f t="shared" si="1"/>
        <v>1590663.4499999962</v>
      </c>
      <c r="T36" s="98">
        <f t="shared" si="1"/>
        <v>1603163.8799999922</v>
      </c>
      <c r="U36" s="98">
        <f t="shared" si="1"/>
        <v>1566812.0899999999</v>
      </c>
      <c r="V36" s="98">
        <f t="shared" si="1"/>
        <v>1621747.0099999998</v>
      </c>
      <c r="W36" s="98">
        <f t="shared" si="1"/>
        <v>1587429.91</v>
      </c>
      <c r="X36" s="98">
        <f t="shared" si="1"/>
        <v>1573592.03</v>
      </c>
      <c r="Y36" s="98">
        <f t="shared" si="1"/>
        <v>1611303.0400000003</v>
      </c>
      <c r="Z36" s="98">
        <f t="shared" si="1"/>
        <v>1655782.2199999995</v>
      </c>
      <c r="AA36" s="98">
        <f t="shared" si="1"/>
        <v>1623642.0799999998</v>
      </c>
      <c r="AB36" s="98">
        <f t="shared" si="1"/>
        <v>1613245.7500000002</v>
      </c>
      <c r="AC36" s="98">
        <f t="shared" si="1"/>
        <v>1603748.0700000003</v>
      </c>
      <c r="AD36" s="98">
        <f t="shared" si="1"/>
        <v>1608342.07</v>
      </c>
      <c r="AE36" s="98">
        <f t="shared" si="1"/>
        <v>1636451.379999999</v>
      </c>
      <c r="AF36" s="98">
        <f t="shared" si="1"/>
        <v>1719002.3100000306</v>
      </c>
      <c r="AG36" s="98">
        <f t="shared" si="1"/>
        <v>1664022.9799999949</v>
      </c>
      <c r="AH36" s="98">
        <f t="shared" si="1"/>
        <v>1627603.0299999984</v>
      </c>
      <c r="AI36" s="98">
        <f t="shared" si="1"/>
        <v>1639486.1899999685</v>
      </c>
      <c r="AJ36" s="98">
        <f t="shared" si="1"/>
        <v>1603321.9100000001</v>
      </c>
      <c r="AK36" s="98">
        <f t="shared" si="1"/>
        <v>1643388.3299999745</v>
      </c>
      <c r="AL36" s="98">
        <f t="shared" si="1"/>
        <v>1635582.9</v>
      </c>
      <c r="AM36" s="98">
        <f t="shared" si="1"/>
        <v>1642722.9699999453</v>
      </c>
      <c r="AN36" s="98">
        <f t="shared" si="1"/>
        <v>1596357.0499999025</v>
      </c>
      <c r="AO36" s="98">
        <f t="shared" si="1"/>
        <v>1662414.419999962</v>
      </c>
      <c r="AP36" s="98">
        <f t="shared" si="1"/>
        <v>1673618.9500000002</v>
      </c>
      <c r="AQ36" s="98">
        <f t="shared" si="1"/>
        <v>1726795.7599999774</v>
      </c>
      <c r="AR36" s="44">
        <f>SUM(AR5:AR34)</f>
        <v>1707315.1199999864</v>
      </c>
      <c r="AS36" s="44">
        <f t="shared" ref="AS36:AU36" si="2">SUM(AS5:AS33)</f>
        <v>1747699.7200000002</v>
      </c>
      <c r="AT36" s="44">
        <f t="shared" si="2"/>
        <v>1761052.7500000231</v>
      </c>
      <c r="AU36" s="44">
        <f t="shared" si="2"/>
        <v>1775893.320000025</v>
      </c>
      <c r="AV36" s="44">
        <f>SUM(AV5:AV33)</f>
        <v>1761614.41</v>
      </c>
      <c r="AW36" s="44">
        <f t="shared" ref="AW36:AZ36" si="3">SUM(AW5:AW33)</f>
        <v>1742958.0300000003</v>
      </c>
      <c r="AX36" s="44">
        <f t="shared" si="3"/>
        <v>1822125.7099999951</v>
      </c>
      <c r="AY36" s="44">
        <f t="shared" si="3"/>
        <v>1846734.43</v>
      </c>
      <c r="AZ36" s="44">
        <f t="shared" si="3"/>
        <v>1807549.5300000452</v>
      </c>
      <c r="BA36" s="44">
        <f>SUM(BA5:BA33)</f>
        <v>1728102.7600000002</v>
      </c>
      <c r="BB36" s="44">
        <f>SUM(BB5:BB33)</f>
        <v>1812923.2600000764</v>
      </c>
      <c r="BC36" s="44">
        <f>SUM(BC5:BC33)</f>
        <v>2118941.2900000466</v>
      </c>
      <c r="BD36" s="44">
        <f t="shared" ref="BD36:BI36" si="4">SUM(BD5:BD33)</f>
        <v>2154623.8492038404</v>
      </c>
      <c r="BE36" s="44">
        <f t="shared" si="4"/>
        <v>2032297.9100000958</v>
      </c>
      <c r="BF36" s="41">
        <f t="shared" si="4"/>
        <v>1990470.0499999998</v>
      </c>
      <c r="BG36" s="33">
        <f t="shared" si="4"/>
        <v>1831596.5700000003</v>
      </c>
      <c r="BH36" s="33">
        <f t="shared" si="4"/>
        <v>1871690.4400001029</v>
      </c>
      <c r="BI36" s="33">
        <f t="shared" si="4"/>
        <v>2020056.3500000988</v>
      </c>
      <c r="BJ36" s="66">
        <f>BJ5+BJ6+BJ7+BJ8+BJ10+BJ11+BJ14+BJ15+BJ16+BJ18+BJ19+BJ21+BJ22+BJ24+BJ25+BJ27+BJ29+BJ31+BJ32+BJ33+BJ20</f>
        <v>1845059.7500000768</v>
      </c>
      <c r="BK36" s="66">
        <f>BK5+BK6+BK7+BK8+BK10+BK11+BK14+BK15+BK16+BK18+BK19+BK21+BK22+BK24+BK25+BK27+BK29+BK31+BK32+BK33+BK20</f>
        <v>1992002.0499999574</v>
      </c>
      <c r="BL36" s="66">
        <f>BL5+BL6+BL7+BL8+BL10+BL11+BL14+BL15+BL16+BL18+BL19+BL21+BL22+BL24+BL25+BL27+BL29+BL31+BL32+BL33+BL20</f>
        <v>2020404.8300000178</v>
      </c>
      <c r="BM36" s="66">
        <f>BM5+BM6+BM7+BM8+BM10+BM11+BM14+BM15+BM16+BM18+BM19+BM21+BM22+BM24+BM25+BM27+BM29+BM31+BM32+BM33+BM20</f>
        <v>1959045.3900000285</v>
      </c>
      <c r="BN36" s="163" t="s">
        <v>15</v>
      </c>
      <c r="BO36" s="164"/>
    </row>
    <row r="37" spans="1:67" ht="16.2" thickTop="1" x14ac:dyDescent="0.3">
      <c r="C37" s="124">
        <f>'Inventory 4.01.2020 5.01.2020'!D28</f>
        <v>0</v>
      </c>
      <c r="D37" s="124">
        <f>'Inventory 03.01.2020 04.01.2020'!D28</f>
        <v>25307</v>
      </c>
      <c r="E37" s="124">
        <f>'Inventory 02.01.2020 03.01.2020'!D28</f>
        <v>25539</v>
      </c>
      <c r="F37" s="124">
        <f>'[1]Inventory 01.01.2020 02.01.2020'!$D$28</f>
        <v>26199</v>
      </c>
      <c r="G37" s="124">
        <f>'[1]Inventory 12.01.2019 01.01.2020'!$D$28</f>
        <v>26226</v>
      </c>
      <c r="H37" s="124">
        <f>'[1]Inventory 11.01.2019 12.01.2019'!$D$28</f>
        <v>27023</v>
      </c>
      <c r="I37" s="124">
        <f>'[1]Inventory 10.01.2019 11.01.2019'!$D$28</f>
        <v>29579</v>
      </c>
      <c r="J37" s="114">
        <v>34786</v>
      </c>
      <c r="K37" s="114">
        <v>35421</v>
      </c>
      <c r="L37" s="114">
        <v>37708</v>
      </c>
      <c r="M37" s="114">
        <v>37456</v>
      </c>
      <c r="N37" s="114">
        <v>38098</v>
      </c>
      <c r="O37" s="114">
        <v>39536</v>
      </c>
      <c r="P37" s="114">
        <v>40078</v>
      </c>
      <c r="Q37" s="114">
        <v>40162</v>
      </c>
      <c r="R37" s="114">
        <v>40247</v>
      </c>
      <c r="S37" s="114">
        <v>40974</v>
      </c>
      <c r="T37" s="114">
        <v>41518</v>
      </c>
      <c r="U37" s="114">
        <v>42096</v>
      </c>
      <c r="V37" s="114">
        <v>42483</v>
      </c>
      <c r="W37" s="114">
        <v>42440</v>
      </c>
      <c r="X37" s="114">
        <v>42681</v>
      </c>
      <c r="Y37" s="114">
        <v>43295</v>
      </c>
      <c r="Z37" s="114">
        <v>43368</v>
      </c>
      <c r="AA37" s="114">
        <v>43543</v>
      </c>
      <c r="AB37" s="114">
        <v>43692</v>
      </c>
      <c r="AC37" s="114">
        <v>43762</v>
      </c>
      <c r="AD37" s="114">
        <v>43872</v>
      </c>
      <c r="AE37" s="114">
        <v>43969</v>
      </c>
      <c r="AF37" s="114">
        <v>44262</v>
      </c>
      <c r="AG37" s="114">
        <v>44680</v>
      </c>
      <c r="AH37" s="114">
        <v>44009</v>
      </c>
      <c r="AI37" s="114">
        <v>43986</v>
      </c>
      <c r="AJ37" s="114">
        <v>44050</v>
      </c>
      <c r="AK37" s="114">
        <v>44344</v>
      </c>
      <c r="AL37" s="114">
        <v>44760</v>
      </c>
      <c r="AM37" s="112">
        <v>44997</v>
      </c>
      <c r="AN37" s="64">
        <v>45375</v>
      </c>
      <c r="AO37" s="101">
        <v>46454</v>
      </c>
      <c r="AP37" s="70">
        <v>47106</v>
      </c>
      <c r="AQ37" s="70">
        <v>47756</v>
      </c>
      <c r="AR37" s="70">
        <v>48269</v>
      </c>
      <c r="AS37" s="68">
        <v>48470</v>
      </c>
      <c r="AT37" s="68">
        <v>48451</v>
      </c>
      <c r="AU37" s="68">
        <v>48728</v>
      </c>
      <c r="AV37" s="68">
        <v>49728</v>
      </c>
      <c r="AW37" s="65">
        <v>50604</v>
      </c>
      <c r="AX37" s="65">
        <v>51008</v>
      </c>
      <c r="AY37" s="65">
        <v>50065</v>
      </c>
      <c r="AZ37" s="65">
        <v>48807</v>
      </c>
      <c r="BA37" s="65">
        <v>49107</v>
      </c>
      <c r="BB37" s="65">
        <v>52631</v>
      </c>
      <c r="BC37" s="65">
        <v>53900</v>
      </c>
      <c r="BD37" s="65">
        <v>56018</v>
      </c>
      <c r="BE37" s="65">
        <v>51394</v>
      </c>
      <c r="BF37" s="65">
        <v>51539</v>
      </c>
      <c r="BG37" s="65">
        <v>48593</v>
      </c>
      <c r="BH37" s="65">
        <v>51164</v>
      </c>
      <c r="BI37" s="65">
        <v>53504</v>
      </c>
      <c r="BJ37" s="67">
        <v>52730</v>
      </c>
      <c r="BK37" s="67"/>
      <c r="BL37" s="67"/>
      <c r="BM37" s="67"/>
      <c r="BN37" s="64" t="s">
        <v>0</v>
      </c>
      <c r="BO37" s="64"/>
    </row>
    <row r="38" spans="1:67" ht="15.6" x14ac:dyDescent="0.3">
      <c r="C38" s="114">
        <v>0</v>
      </c>
      <c r="D38" s="114"/>
      <c r="E38" s="114"/>
      <c r="F38" s="114"/>
      <c r="G38" s="114"/>
      <c r="H38" s="114"/>
      <c r="I38" s="114"/>
      <c r="J38" s="114">
        <v>0</v>
      </c>
      <c r="K38" s="114">
        <v>0</v>
      </c>
      <c r="L38" s="114">
        <v>0</v>
      </c>
      <c r="M38" s="114">
        <v>0</v>
      </c>
      <c r="N38" s="114">
        <v>0</v>
      </c>
      <c r="O38" s="114">
        <v>0</v>
      </c>
      <c r="P38" s="114">
        <v>0</v>
      </c>
      <c r="Q38" s="114">
        <v>0</v>
      </c>
      <c r="R38" s="114">
        <v>0</v>
      </c>
      <c r="S38" s="114">
        <v>0</v>
      </c>
      <c r="T38" s="114">
        <v>0</v>
      </c>
      <c r="U38" s="114">
        <v>0</v>
      </c>
      <c r="V38" s="114">
        <v>0</v>
      </c>
      <c r="W38" s="114">
        <v>0</v>
      </c>
      <c r="X38" s="114">
        <v>0</v>
      </c>
      <c r="Y38" s="114">
        <v>0</v>
      </c>
      <c r="Z38" s="114">
        <v>0</v>
      </c>
      <c r="AA38" s="114">
        <v>0</v>
      </c>
      <c r="AB38" s="114">
        <v>0</v>
      </c>
      <c r="AC38" s="114">
        <v>0</v>
      </c>
      <c r="AD38" s="114">
        <v>0</v>
      </c>
      <c r="AE38" s="114">
        <v>6</v>
      </c>
      <c r="AF38" s="114">
        <v>10</v>
      </c>
      <c r="AG38" s="114">
        <v>10</v>
      </c>
      <c r="AH38" s="114">
        <v>19</v>
      </c>
      <c r="AI38" s="114">
        <v>39</v>
      </c>
      <c r="AJ38" s="114">
        <v>42</v>
      </c>
      <c r="AK38" s="114">
        <v>47</v>
      </c>
      <c r="AL38" s="114">
        <v>49</v>
      </c>
      <c r="AM38" s="112">
        <v>59</v>
      </c>
      <c r="AN38" s="64">
        <v>141</v>
      </c>
      <c r="AO38" s="102">
        <v>210</v>
      </c>
      <c r="AP38" s="70">
        <v>387</v>
      </c>
      <c r="AQ38" s="70">
        <v>469</v>
      </c>
      <c r="AR38" s="70">
        <v>505</v>
      </c>
      <c r="AS38" s="68">
        <v>626</v>
      </c>
      <c r="AT38" s="68">
        <v>873</v>
      </c>
      <c r="AU38" s="68">
        <v>1075</v>
      </c>
      <c r="AV38" s="68">
        <v>1303</v>
      </c>
      <c r="AW38" s="65">
        <v>1577</v>
      </c>
      <c r="AX38" s="65">
        <v>1778</v>
      </c>
      <c r="AY38" s="65">
        <v>2141</v>
      </c>
      <c r="AZ38" s="65">
        <v>2567</v>
      </c>
      <c r="BA38" s="65">
        <v>2741</v>
      </c>
      <c r="BB38" s="65">
        <v>3177</v>
      </c>
      <c r="BC38" s="65">
        <v>3526</v>
      </c>
      <c r="BD38" s="65">
        <v>3665</v>
      </c>
      <c r="BE38" s="65">
        <v>4120</v>
      </c>
      <c r="BF38" s="65">
        <v>4505</v>
      </c>
      <c r="BG38" s="65">
        <v>4801</v>
      </c>
      <c r="BH38" s="65">
        <v>5275</v>
      </c>
      <c r="BI38" s="65">
        <v>5733</v>
      </c>
      <c r="BJ38" s="67">
        <v>6344</v>
      </c>
      <c r="BK38" s="67"/>
      <c r="BL38" s="67"/>
      <c r="BM38" s="67"/>
      <c r="BN38" s="64" t="s">
        <v>120</v>
      </c>
      <c r="BO38" s="64"/>
    </row>
    <row r="39" spans="1:67" ht="15.6" x14ac:dyDescent="0.3">
      <c r="C39" s="124">
        <f>'Inventory 4.01.2020 5.01.2020'!D31</f>
        <v>0</v>
      </c>
      <c r="D39" s="124">
        <f>'Inventory 03.01.2020 04.01.2020'!D31</f>
        <v>34042</v>
      </c>
      <c r="E39" s="124">
        <f>'Inventory 02.01.2020 03.01.2020'!D31</f>
        <v>35023</v>
      </c>
      <c r="F39" s="124">
        <f>'[1]Inventory 01.01.2020 02.01.2020'!$D$31</f>
        <v>36249</v>
      </c>
      <c r="G39" s="124">
        <f>'[1]Inventory 12.01.2019 01.01.2020'!$D$31</f>
        <v>36378</v>
      </c>
      <c r="H39" s="124">
        <f>'[1]Inventory 11.01.2019 12.01.2019'!$D$31</f>
        <v>37453</v>
      </c>
      <c r="I39" s="124">
        <f>'[1]Inventory 10.01.2019 11.01.2019'!$D$31</f>
        <v>37954</v>
      </c>
      <c r="J39" s="114">
        <v>38414</v>
      </c>
      <c r="K39" s="114">
        <v>38777</v>
      </c>
      <c r="L39" s="114">
        <v>39129</v>
      </c>
      <c r="M39" s="114">
        <v>39488</v>
      </c>
      <c r="N39" s="114">
        <v>38577</v>
      </c>
      <c r="O39" s="114">
        <v>40646</v>
      </c>
      <c r="P39" s="114">
        <v>41535</v>
      </c>
      <c r="Q39" s="114">
        <v>41236</v>
      </c>
      <c r="R39" s="114">
        <v>41045</v>
      </c>
      <c r="S39" s="114">
        <v>40845</v>
      </c>
      <c r="T39" s="114">
        <v>40996</v>
      </c>
      <c r="U39" s="114">
        <v>40987</v>
      </c>
      <c r="V39" s="114">
        <v>41079</v>
      </c>
      <c r="W39" s="114">
        <v>39769</v>
      </c>
      <c r="X39" s="114">
        <v>40690</v>
      </c>
      <c r="Y39" s="114">
        <v>40613</v>
      </c>
      <c r="Z39" s="114">
        <v>41056</v>
      </c>
      <c r="AA39" s="114">
        <v>40510</v>
      </c>
      <c r="AB39" s="114">
        <v>39624</v>
      </c>
      <c r="AC39" s="114">
        <v>39165</v>
      </c>
      <c r="AD39" s="114">
        <v>38702</v>
      </c>
      <c r="AE39" s="114">
        <v>38178</v>
      </c>
      <c r="AF39" s="114">
        <v>37765</v>
      </c>
      <c r="AG39" s="114">
        <v>36621</v>
      </c>
      <c r="AH39" s="114">
        <v>35932</v>
      </c>
      <c r="AI39" s="114">
        <v>35765</v>
      </c>
      <c r="AJ39" s="114">
        <v>36147</v>
      </c>
      <c r="AK39" s="114">
        <v>36548</v>
      </c>
      <c r="AL39" s="114">
        <v>35007</v>
      </c>
      <c r="AM39" s="112">
        <v>35054</v>
      </c>
      <c r="AN39" s="64">
        <v>34514</v>
      </c>
      <c r="AO39" s="102">
        <v>34032</v>
      </c>
      <c r="AP39" s="70">
        <v>33734</v>
      </c>
      <c r="AQ39" s="70">
        <v>33627</v>
      </c>
      <c r="AR39" s="70">
        <v>33635</v>
      </c>
      <c r="AS39" s="68">
        <v>33851</v>
      </c>
      <c r="AT39" s="68">
        <v>33713</v>
      </c>
      <c r="AU39" s="68">
        <v>33726</v>
      </c>
      <c r="AV39" s="68">
        <v>32887</v>
      </c>
      <c r="AW39" s="65">
        <v>32592</v>
      </c>
      <c r="AX39" s="65">
        <v>32680</v>
      </c>
      <c r="AY39" s="65">
        <v>31862</v>
      </c>
      <c r="AZ39" s="65">
        <v>31353</v>
      </c>
      <c r="BA39" s="65">
        <v>30868</v>
      </c>
      <c r="BB39" s="65">
        <v>31124</v>
      </c>
      <c r="BC39" s="65">
        <v>31455</v>
      </c>
      <c r="BD39" s="65">
        <v>32003</v>
      </c>
      <c r="BE39" s="65">
        <v>31236</v>
      </c>
      <c r="BF39" s="65">
        <v>31112</v>
      </c>
      <c r="BG39" s="65">
        <v>29247</v>
      </c>
      <c r="BH39" s="65">
        <v>29975</v>
      </c>
      <c r="BI39" s="65">
        <v>30637</v>
      </c>
      <c r="BJ39" s="67">
        <v>29160</v>
      </c>
      <c r="BK39" s="67"/>
      <c r="BL39" s="67"/>
      <c r="BM39" s="67"/>
      <c r="BN39" s="64" t="s">
        <v>121</v>
      </c>
      <c r="BO39" s="64"/>
    </row>
    <row r="40" spans="1:67" ht="15.6" x14ac:dyDescent="0.3">
      <c r="C40" s="114">
        <v>0</v>
      </c>
      <c r="D40" s="114"/>
      <c r="E40" s="114"/>
      <c r="F40" s="114"/>
      <c r="G40" s="114"/>
      <c r="H40" s="114"/>
      <c r="I40" s="114"/>
      <c r="J40" s="114">
        <v>0</v>
      </c>
      <c r="K40" s="114">
        <v>0</v>
      </c>
      <c r="L40" s="114">
        <v>0</v>
      </c>
      <c r="M40" s="114">
        <v>10</v>
      </c>
      <c r="N40" s="114">
        <v>10</v>
      </c>
      <c r="O40" s="114">
        <v>10</v>
      </c>
      <c r="P40" s="114">
        <v>10</v>
      </c>
      <c r="Q40" s="114">
        <v>10</v>
      </c>
      <c r="R40" s="114">
        <v>10</v>
      </c>
      <c r="S40" s="114">
        <v>10</v>
      </c>
      <c r="T40" s="114">
        <v>10</v>
      </c>
      <c r="U40" s="114">
        <v>10</v>
      </c>
      <c r="V40" s="114">
        <v>10</v>
      </c>
      <c r="W40" s="114">
        <v>10</v>
      </c>
      <c r="X40" s="114">
        <v>8</v>
      </c>
      <c r="Y40" s="114">
        <v>8</v>
      </c>
      <c r="Z40" s="114">
        <v>8</v>
      </c>
      <c r="AA40" s="114">
        <v>8</v>
      </c>
      <c r="AB40" s="114">
        <v>8</v>
      </c>
      <c r="AC40" s="114">
        <v>10</v>
      </c>
      <c r="AD40" s="114">
        <v>10</v>
      </c>
      <c r="AE40" s="114">
        <v>10</v>
      </c>
      <c r="AF40" s="114">
        <v>8</v>
      </c>
      <c r="AG40" s="114">
        <v>9</v>
      </c>
      <c r="AH40" s="114">
        <v>6</v>
      </c>
      <c r="AI40" s="114">
        <v>4</v>
      </c>
      <c r="AJ40" s="114">
        <v>4</v>
      </c>
      <c r="AK40" s="114">
        <v>4</v>
      </c>
      <c r="AL40" s="114">
        <v>4</v>
      </c>
      <c r="AM40" s="113">
        <v>4</v>
      </c>
      <c r="AN40" s="64">
        <v>4</v>
      </c>
      <c r="AO40" s="102">
        <v>4</v>
      </c>
      <c r="AP40" s="70">
        <v>4</v>
      </c>
      <c r="AQ40" s="70">
        <v>4</v>
      </c>
      <c r="AR40" s="70">
        <v>3</v>
      </c>
      <c r="AS40" s="68">
        <v>1</v>
      </c>
      <c r="AT40" s="68"/>
      <c r="AU40" s="68"/>
      <c r="AV40" s="68"/>
      <c r="AW40" s="65"/>
      <c r="AX40" s="65"/>
      <c r="AY40" s="65"/>
      <c r="AZ40" s="65"/>
      <c r="BA40" s="65"/>
      <c r="BB40" s="65"/>
      <c r="BC40" s="65"/>
      <c r="BD40" s="65"/>
      <c r="BE40" s="65"/>
      <c r="BF40" s="65"/>
      <c r="BG40" s="65"/>
      <c r="BH40" s="65"/>
      <c r="BI40" s="65"/>
      <c r="BJ40" s="67"/>
      <c r="BK40" s="67"/>
      <c r="BL40" s="67"/>
      <c r="BM40" s="67"/>
      <c r="BN40" s="64" t="s">
        <v>142</v>
      </c>
      <c r="BO40" s="64"/>
    </row>
    <row r="41" spans="1:67" ht="15.6" x14ac:dyDescent="0.3">
      <c r="C41" s="102">
        <f t="shared" ref="C41" si="5">SUM(C37:C40)</f>
        <v>0</v>
      </c>
      <c r="D41" s="102">
        <f t="shared" ref="D41:AS41" si="6">SUM(D37:D40)</f>
        <v>59349</v>
      </c>
      <c r="E41" s="102">
        <f t="shared" si="6"/>
        <v>60562</v>
      </c>
      <c r="F41" s="102">
        <f t="shared" si="6"/>
        <v>62448</v>
      </c>
      <c r="G41" s="102">
        <f t="shared" si="6"/>
        <v>62604</v>
      </c>
      <c r="H41" s="102">
        <f t="shared" si="6"/>
        <v>64476</v>
      </c>
      <c r="I41" s="102">
        <f t="shared" si="6"/>
        <v>67533</v>
      </c>
      <c r="J41" s="102">
        <f t="shared" si="6"/>
        <v>73200</v>
      </c>
      <c r="K41" s="102">
        <f t="shared" si="6"/>
        <v>74198</v>
      </c>
      <c r="L41" s="102">
        <f t="shared" si="6"/>
        <v>76837</v>
      </c>
      <c r="M41" s="102">
        <f t="shared" si="6"/>
        <v>76954</v>
      </c>
      <c r="N41" s="102">
        <f t="shared" si="6"/>
        <v>76685</v>
      </c>
      <c r="O41" s="102">
        <f t="shared" si="6"/>
        <v>80192</v>
      </c>
      <c r="P41" s="102">
        <f t="shared" si="6"/>
        <v>81623</v>
      </c>
      <c r="Q41" s="102">
        <f t="shared" si="6"/>
        <v>81408</v>
      </c>
      <c r="R41" s="102">
        <f t="shared" si="6"/>
        <v>81302</v>
      </c>
      <c r="S41" s="102">
        <f t="shared" si="6"/>
        <v>81829</v>
      </c>
      <c r="T41" s="102">
        <f t="shared" si="6"/>
        <v>82524</v>
      </c>
      <c r="U41" s="102">
        <f t="shared" si="6"/>
        <v>83093</v>
      </c>
      <c r="V41" s="102">
        <f t="shared" si="6"/>
        <v>83572</v>
      </c>
      <c r="W41" s="102">
        <f t="shared" si="6"/>
        <v>82219</v>
      </c>
      <c r="X41" s="102">
        <f t="shared" si="6"/>
        <v>83379</v>
      </c>
      <c r="Y41" s="102">
        <f t="shared" si="6"/>
        <v>83916</v>
      </c>
      <c r="Z41" s="102">
        <f t="shared" si="6"/>
        <v>84432</v>
      </c>
      <c r="AA41" s="102">
        <f t="shared" si="6"/>
        <v>84061</v>
      </c>
      <c r="AB41" s="102">
        <f t="shared" si="6"/>
        <v>83324</v>
      </c>
      <c r="AC41" s="102">
        <f t="shared" si="6"/>
        <v>82937</v>
      </c>
      <c r="AD41" s="102">
        <f t="shared" si="6"/>
        <v>82584</v>
      </c>
      <c r="AE41" s="102">
        <f t="shared" si="6"/>
        <v>82163</v>
      </c>
      <c r="AF41" s="102">
        <f t="shared" si="6"/>
        <v>82045</v>
      </c>
      <c r="AG41" s="102">
        <f t="shared" si="6"/>
        <v>81320</v>
      </c>
      <c r="AH41" s="102">
        <f t="shared" si="6"/>
        <v>79966</v>
      </c>
      <c r="AI41" s="102">
        <f t="shared" si="6"/>
        <v>79794</v>
      </c>
      <c r="AJ41" s="102">
        <f t="shared" si="6"/>
        <v>80243</v>
      </c>
      <c r="AK41" s="102">
        <f t="shared" si="6"/>
        <v>80943</v>
      </c>
      <c r="AL41" s="102">
        <f t="shared" si="6"/>
        <v>79820</v>
      </c>
      <c r="AM41" s="102">
        <f t="shared" si="6"/>
        <v>80114</v>
      </c>
      <c r="AN41" s="102">
        <f t="shared" si="6"/>
        <v>80034</v>
      </c>
      <c r="AO41" s="102">
        <f t="shared" si="6"/>
        <v>80700</v>
      </c>
      <c r="AP41" s="70">
        <f t="shared" si="6"/>
        <v>81231</v>
      </c>
      <c r="AQ41" s="70">
        <f t="shared" si="6"/>
        <v>81856</v>
      </c>
      <c r="AR41" s="70">
        <f t="shared" si="6"/>
        <v>82412</v>
      </c>
      <c r="AS41" s="68">
        <f t="shared" si="6"/>
        <v>82948</v>
      </c>
      <c r="AT41" s="68">
        <v>83037</v>
      </c>
      <c r="AU41" s="68">
        <f>SUM(AU37:AU39)</f>
        <v>83529</v>
      </c>
      <c r="AV41" s="68">
        <v>83918</v>
      </c>
      <c r="AW41" s="65">
        <v>84773</v>
      </c>
      <c r="AX41" s="65">
        <v>85466</v>
      </c>
      <c r="AY41" s="65">
        <v>84068</v>
      </c>
      <c r="AZ41" s="65">
        <v>82727</v>
      </c>
      <c r="BA41" s="65">
        <v>82716</v>
      </c>
      <c r="BB41" s="65">
        <v>86932</v>
      </c>
      <c r="BC41" s="65">
        <v>88881</v>
      </c>
      <c r="BD41" s="65">
        <v>91686</v>
      </c>
      <c r="BE41" s="65">
        <v>86750</v>
      </c>
      <c r="BF41" s="65">
        <v>87156</v>
      </c>
      <c r="BG41" s="65">
        <v>82641</v>
      </c>
      <c r="BH41" s="65">
        <v>86414</v>
      </c>
      <c r="BI41" s="65">
        <v>89874</v>
      </c>
      <c r="BJ41" s="67">
        <v>88234</v>
      </c>
      <c r="BK41" s="67"/>
      <c r="BL41" s="67"/>
      <c r="BM41" s="67"/>
      <c r="BN41" s="64" t="s">
        <v>119</v>
      </c>
      <c r="BO41" s="64"/>
    </row>
    <row r="42" spans="1:67" x14ac:dyDescent="0.3">
      <c r="AY42" s="138" t="s">
        <v>105</v>
      </c>
      <c r="AZ42" s="138">
        <v>-7342.8099999999986</v>
      </c>
      <c r="BB42" s="138">
        <v>-271398.65999999997</v>
      </c>
    </row>
    <row r="43" spans="1:67" ht="15.6" x14ac:dyDescent="0.3"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22"/>
      <c r="BF43" s="42"/>
      <c r="BG43" s="22"/>
      <c r="BH43" s="22"/>
      <c r="BI43" s="22"/>
      <c r="BJ43" s="22"/>
      <c r="BK43" s="22"/>
      <c r="BL43" s="22"/>
      <c r="BM43" s="28"/>
      <c r="BN43" s="10" t="s">
        <v>25</v>
      </c>
      <c r="BO43" s="11"/>
    </row>
    <row r="44" spans="1:67" ht="15.6" x14ac:dyDescent="0.3">
      <c r="C44" s="10" t="s">
        <v>4</v>
      </c>
      <c r="D44" s="10" t="s">
        <v>4</v>
      </c>
      <c r="E44" s="10" t="s">
        <v>4</v>
      </c>
      <c r="F44" s="10" t="s">
        <v>4</v>
      </c>
      <c r="G44" s="10" t="s">
        <v>4</v>
      </c>
      <c r="H44" s="10" t="s">
        <v>4</v>
      </c>
      <c r="I44" s="10" t="s">
        <v>4</v>
      </c>
      <c r="J44" s="10" t="s">
        <v>4</v>
      </c>
      <c r="K44" s="10" t="s">
        <v>4</v>
      </c>
      <c r="L44" s="10" t="s">
        <v>4</v>
      </c>
      <c r="M44" s="10" t="s">
        <v>4</v>
      </c>
      <c r="N44" s="10" t="s">
        <v>4</v>
      </c>
      <c r="O44" s="10" t="s">
        <v>4</v>
      </c>
      <c r="P44" s="10" t="s">
        <v>4</v>
      </c>
      <c r="Q44" s="10" t="s">
        <v>4</v>
      </c>
      <c r="R44" s="10" t="s">
        <v>4</v>
      </c>
      <c r="S44" s="10" t="s">
        <v>4</v>
      </c>
      <c r="T44" s="10" t="s">
        <v>4</v>
      </c>
      <c r="U44" s="10" t="s">
        <v>4</v>
      </c>
      <c r="V44" s="10" t="s">
        <v>4</v>
      </c>
      <c r="W44" s="10" t="s">
        <v>4</v>
      </c>
      <c r="X44" s="10" t="s">
        <v>4</v>
      </c>
      <c r="Y44" s="10" t="s">
        <v>4</v>
      </c>
      <c r="Z44" s="10" t="s">
        <v>4</v>
      </c>
      <c r="AA44" s="10" t="s">
        <v>4</v>
      </c>
      <c r="AB44" s="10" t="s">
        <v>4</v>
      </c>
      <c r="AC44" s="10" t="s">
        <v>4</v>
      </c>
      <c r="AD44" s="10" t="s">
        <v>4</v>
      </c>
      <c r="AE44" s="10" t="s">
        <v>4</v>
      </c>
      <c r="AF44" s="10" t="s">
        <v>4</v>
      </c>
      <c r="AG44" s="10" t="s">
        <v>4</v>
      </c>
      <c r="AH44" s="10" t="s">
        <v>4</v>
      </c>
      <c r="AI44" s="10" t="s">
        <v>4</v>
      </c>
      <c r="AJ44" s="10" t="s">
        <v>4</v>
      </c>
      <c r="AK44" s="10" t="s">
        <v>4</v>
      </c>
      <c r="AL44" s="10" t="s">
        <v>4</v>
      </c>
      <c r="AM44" s="10" t="s">
        <v>4</v>
      </c>
      <c r="AN44" s="10" t="s">
        <v>4</v>
      </c>
      <c r="AO44" s="10" t="s">
        <v>4</v>
      </c>
      <c r="AP44" s="10" t="s">
        <v>4</v>
      </c>
      <c r="AQ44" s="10" t="s">
        <v>4</v>
      </c>
      <c r="AR44" s="10" t="s">
        <v>4</v>
      </c>
      <c r="AS44" s="10" t="s">
        <v>4</v>
      </c>
      <c r="AT44" s="10" t="s">
        <v>4</v>
      </c>
      <c r="AU44" s="10" t="s">
        <v>4</v>
      </c>
      <c r="AV44" s="10" t="s">
        <v>4</v>
      </c>
      <c r="AW44" s="10" t="s">
        <v>4</v>
      </c>
      <c r="AX44" s="10" t="s">
        <v>4</v>
      </c>
      <c r="AY44" s="10" t="s">
        <v>4</v>
      </c>
      <c r="AZ44" s="10" t="s">
        <v>4</v>
      </c>
      <c r="BA44" s="10" t="s">
        <v>4</v>
      </c>
      <c r="BB44" s="10" t="s">
        <v>4</v>
      </c>
      <c r="BC44" s="10" t="s">
        <v>4</v>
      </c>
      <c r="BD44" s="10" t="s">
        <v>4</v>
      </c>
      <c r="BE44" s="10" t="s">
        <v>4</v>
      </c>
      <c r="BF44" s="18" t="s">
        <v>4</v>
      </c>
      <c r="BG44" s="10" t="s">
        <v>4</v>
      </c>
      <c r="BH44" s="10" t="s">
        <v>4</v>
      </c>
      <c r="BI44" s="10" t="s">
        <v>4</v>
      </c>
      <c r="BJ44" s="18" t="s">
        <v>4</v>
      </c>
      <c r="BK44" s="10" t="s">
        <v>27</v>
      </c>
      <c r="BL44" s="10" t="s">
        <v>27</v>
      </c>
      <c r="BM44" s="10" t="s">
        <v>4</v>
      </c>
      <c r="BN44" s="10"/>
      <c r="BO44" s="10"/>
    </row>
    <row r="45" spans="1:67" ht="16.2" thickBot="1" x14ac:dyDescent="0.35">
      <c r="C45" s="34">
        <v>1</v>
      </c>
      <c r="D45" s="34">
        <v>1</v>
      </c>
      <c r="E45" s="34">
        <v>0</v>
      </c>
      <c r="F45" s="34">
        <v>0</v>
      </c>
      <c r="G45" s="34">
        <v>0</v>
      </c>
      <c r="H45" s="34">
        <v>0</v>
      </c>
      <c r="I45" s="34">
        <v>0</v>
      </c>
      <c r="J45" s="34">
        <v>0</v>
      </c>
      <c r="K45" s="34">
        <v>0</v>
      </c>
      <c r="L45" s="34">
        <v>0</v>
      </c>
      <c r="M45" s="34">
        <v>0</v>
      </c>
      <c r="N45" s="34">
        <v>0</v>
      </c>
      <c r="O45" s="34">
        <v>0</v>
      </c>
      <c r="P45" s="34">
        <v>0</v>
      </c>
      <c r="Q45" s="34">
        <v>0</v>
      </c>
      <c r="R45" s="34">
        <v>0</v>
      </c>
      <c r="S45" s="34">
        <v>0</v>
      </c>
      <c r="T45" s="34">
        <v>0</v>
      </c>
      <c r="U45" s="34">
        <v>0</v>
      </c>
      <c r="V45" s="34">
        <v>0</v>
      </c>
      <c r="W45" s="34">
        <v>0</v>
      </c>
      <c r="X45" s="34">
        <v>0</v>
      </c>
      <c r="Y45" s="34">
        <v>0</v>
      </c>
      <c r="Z45" s="34">
        <v>0</v>
      </c>
      <c r="AA45" s="34">
        <v>0</v>
      </c>
      <c r="AB45" s="34">
        <v>0</v>
      </c>
      <c r="AC45" s="34">
        <v>0</v>
      </c>
      <c r="AD45" s="34">
        <v>0</v>
      </c>
      <c r="AE45" s="34">
        <v>0</v>
      </c>
      <c r="AF45" s="34">
        <v>0</v>
      </c>
      <c r="AG45" s="34">
        <v>0</v>
      </c>
      <c r="AH45" s="34">
        <v>0</v>
      </c>
      <c r="AI45" s="34">
        <v>0</v>
      </c>
      <c r="AJ45" s="34">
        <v>0</v>
      </c>
      <c r="AK45" s="34">
        <v>0</v>
      </c>
      <c r="AL45" s="34">
        <v>0</v>
      </c>
      <c r="AM45" s="34">
        <v>0</v>
      </c>
      <c r="AN45" s="34">
        <v>0</v>
      </c>
      <c r="AO45" s="34">
        <v>0</v>
      </c>
      <c r="AP45" s="34">
        <v>0</v>
      </c>
      <c r="AQ45" s="34">
        <v>0</v>
      </c>
      <c r="AR45" s="34">
        <v>0</v>
      </c>
      <c r="AS45" s="34">
        <v>0</v>
      </c>
      <c r="AT45" s="34">
        <v>0</v>
      </c>
      <c r="AU45" s="34">
        <v>0</v>
      </c>
      <c r="AV45" s="34">
        <v>0</v>
      </c>
      <c r="AW45" s="62">
        <v>1742958.0300000003</v>
      </c>
      <c r="AX45" s="62">
        <v>1822125.7099999951</v>
      </c>
      <c r="AY45" s="34">
        <v>1846734.43</v>
      </c>
      <c r="AZ45" s="34">
        <f>(AZ36+AZ42)</f>
        <v>1800206.7200000451</v>
      </c>
      <c r="BA45" s="34">
        <f>(BA36+BA42)</f>
        <v>1728102.7600000002</v>
      </c>
      <c r="BB45" s="34">
        <f>(BB36+BB42)</f>
        <v>1541524.6000000765</v>
      </c>
      <c r="BC45" s="34">
        <v>2118941.29</v>
      </c>
      <c r="BD45" s="34">
        <v>2154623.85</v>
      </c>
      <c r="BE45" s="34">
        <v>2032297.91</v>
      </c>
      <c r="BF45" s="34">
        <v>1990470.05</v>
      </c>
      <c r="BG45" s="34">
        <v>1831596.5700000003</v>
      </c>
      <c r="BH45" s="34">
        <v>1871690.4400001029</v>
      </c>
      <c r="BI45" s="34">
        <v>2020056.3499998415</v>
      </c>
      <c r="BJ45" s="17">
        <v>1845059.75</v>
      </c>
      <c r="BK45" s="12">
        <v>1991839.74</v>
      </c>
      <c r="BL45" s="12">
        <v>2020404.83</v>
      </c>
      <c r="BM45" s="12">
        <v>1959045.39</v>
      </c>
      <c r="BN45" s="6" t="s">
        <v>26</v>
      </c>
      <c r="BO45" s="6"/>
    </row>
    <row r="46" spans="1:67" ht="15" thickTop="1" x14ac:dyDescent="0.3"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17"/>
      <c r="BG46" s="6"/>
      <c r="BH46" s="6"/>
      <c r="BI46" s="34"/>
      <c r="BJ46" s="17"/>
      <c r="BK46" s="12">
        <f>BK36-BK45</f>
        <v>162.30999995744787</v>
      </c>
      <c r="BL46" s="12"/>
      <c r="BM46" s="12"/>
      <c r="BN46" s="6" t="s">
        <v>28</v>
      </c>
      <c r="BO46" s="6"/>
    </row>
    <row r="47" spans="1:67" x14ac:dyDescent="0.3"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17"/>
      <c r="BG47" s="6"/>
      <c r="BH47" s="6"/>
      <c r="BI47" s="6"/>
      <c r="BJ47" s="17"/>
      <c r="BK47" s="6"/>
      <c r="BL47" s="6"/>
      <c r="BM47" s="6"/>
      <c r="BN47" s="6"/>
      <c r="BO47" s="6"/>
    </row>
    <row r="48" spans="1:67" ht="15.6" x14ac:dyDescent="0.3">
      <c r="AE48" s="43"/>
      <c r="AF48" s="43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17"/>
      <c r="BG48" s="6"/>
      <c r="BH48" s="6"/>
      <c r="BI48" s="6"/>
      <c r="BJ48" s="17"/>
      <c r="BK48" s="6"/>
      <c r="BL48" s="6"/>
      <c r="BM48" s="6"/>
      <c r="BN48" s="14"/>
      <c r="BO48" s="6"/>
    </row>
    <row r="49" spans="3:67" ht="15.6" x14ac:dyDescent="0.3"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61"/>
      <c r="AF49" s="61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17"/>
      <c r="BG49" s="6"/>
      <c r="BH49" s="6"/>
      <c r="BI49" s="6"/>
      <c r="BJ49" s="17"/>
      <c r="BK49" s="13"/>
      <c r="BL49" s="6"/>
      <c r="BM49" s="6"/>
      <c r="BN49" s="6"/>
      <c r="BO49" s="6"/>
    </row>
    <row r="50" spans="3:67" ht="15.6" x14ac:dyDescent="0.3"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17"/>
      <c r="BG50" s="6"/>
      <c r="BH50" s="6"/>
      <c r="BI50" s="6"/>
      <c r="BJ50" s="17"/>
      <c r="BK50" s="13"/>
      <c r="BL50" s="6"/>
      <c r="BM50" s="6"/>
      <c r="BN50" s="6"/>
      <c r="BO50" s="6"/>
    </row>
    <row r="51" spans="3:67" x14ac:dyDescent="0.3"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17"/>
      <c r="BG51" s="6"/>
      <c r="BH51" s="6"/>
      <c r="BI51" s="6"/>
      <c r="BJ51" s="17"/>
      <c r="BK51" s="13"/>
      <c r="BL51" s="6"/>
      <c r="BM51" s="6"/>
      <c r="BN51" s="6"/>
      <c r="BO51" s="6"/>
    </row>
    <row r="52" spans="3:67" x14ac:dyDescent="0.3"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17"/>
      <c r="BG52" s="6"/>
      <c r="BH52" s="6"/>
      <c r="BI52" s="6"/>
      <c r="BJ52" s="17"/>
      <c r="BK52" s="13"/>
      <c r="BL52" s="6"/>
      <c r="BM52" s="6"/>
      <c r="BN52" s="6"/>
      <c r="BO52" s="6"/>
    </row>
    <row r="53" spans="3:67" x14ac:dyDescent="0.3"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17"/>
      <c r="BG53" s="6"/>
      <c r="BH53" s="6"/>
      <c r="BI53" s="6"/>
      <c r="BJ53" s="17"/>
      <c r="BK53" s="13"/>
      <c r="BL53" s="6"/>
      <c r="BM53" s="6"/>
      <c r="BN53" s="6"/>
      <c r="BO53" s="6"/>
    </row>
    <row r="54" spans="3:67" x14ac:dyDescent="0.3"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17"/>
      <c r="BG54" s="6"/>
      <c r="BH54" s="6"/>
      <c r="BI54" s="6"/>
      <c r="BJ54" s="17"/>
      <c r="BK54" s="13"/>
      <c r="BL54" s="6"/>
      <c r="BM54" s="6"/>
      <c r="BN54" s="6"/>
      <c r="BO54" s="6"/>
    </row>
    <row r="55" spans="3:67" x14ac:dyDescent="0.3"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17"/>
      <c r="BG55" s="6"/>
      <c r="BH55" s="6"/>
      <c r="BI55" s="6"/>
      <c r="BJ55" s="17"/>
      <c r="BK55" s="13"/>
      <c r="BL55" s="6"/>
      <c r="BM55" s="6"/>
      <c r="BN55" s="6"/>
      <c r="BO55" s="6"/>
    </row>
    <row r="56" spans="3:67" x14ac:dyDescent="0.3"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17"/>
      <c r="BG56" s="6"/>
      <c r="BH56" s="6"/>
      <c r="BI56" s="6"/>
      <c r="BJ56" s="17"/>
      <c r="BK56" s="13"/>
      <c r="BL56" s="6"/>
      <c r="BM56" s="6"/>
      <c r="BN56" s="6"/>
      <c r="BO56" s="6"/>
    </row>
    <row r="57" spans="3:67" x14ac:dyDescent="0.3"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17"/>
      <c r="BG57" s="6"/>
      <c r="BH57" s="6"/>
      <c r="BI57" s="6"/>
      <c r="BJ57" s="17"/>
      <c r="BK57" s="13"/>
      <c r="BL57" s="6"/>
      <c r="BM57" s="6"/>
      <c r="BN57" s="6"/>
      <c r="BO57" s="6"/>
    </row>
    <row r="58" spans="3:67" x14ac:dyDescent="0.3"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17"/>
      <c r="BG58" s="6"/>
      <c r="BH58" s="6"/>
      <c r="BI58" s="6"/>
      <c r="BJ58" s="17"/>
      <c r="BK58" s="13"/>
      <c r="BL58" s="6"/>
      <c r="BM58" s="6"/>
      <c r="BN58" s="6"/>
      <c r="BO58" s="6"/>
    </row>
    <row r="59" spans="3:67" x14ac:dyDescent="0.3"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17"/>
      <c r="BG59" s="6"/>
      <c r="BH59" s="6"/>
      <c r="BI59" s="6"/>
      <c r="BJ59" s="17"/>
      <c r="BK59" s="13"/>
      <c r="BL59" s="6"/>
      <c r="BM59" s="6"/>
      <c r="BN59" s="6"/>
      <c r="BO59" s="6"/>
    </row>
  </sheetData>
  <mergeCells count="10">
    <mergeCell ref="A3:A4"/>
    <mergeCell ref="B3:B4"/>
    <mergeCell ref="H2:S2"/>
    <mergeCell ref="T2:AE2"/>
    <mergeCell ref="BN36:BO36"/>
    <mergeCell ref="AF2:AQ2"/>
    <mergeCell ref="AR2:BC2"/>
    <mergeCell ref="BD2:BO2"/>
    <mergeCell ref="BN3:BN4"/>
    <mergeCell ref="BO3:BO4"/>
  </mergeCells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E41"/>
  <sheetViews>
    <sheetView topLeftCell="A7" workbookViewId="0">
      <selection activeCell="B29" sqref="B29"/>
    </sheetView>
  </sheetViews>
  <sheetFormatPr defaultRowHeight="14.4" x14ac:dyDescent="0.3"/>
  <cols>
    <col min="1" max="1" width="19.5546875" customWidth="1"/>
    <col min="257" max="257" width="19.5546875" customWidth="1"/>
    <col min="513" max="513" width="19.5546875" customWidth="1"/>
    <col min="769" max="769" width="19.5546875" customWidth="1"/>
    <col min="1025" max="1025" width="19.5546875" customWidth="1"/>
    <col min="1281" max="1281" width="19.5546875" customWidth="1"/>
    <col min="1537" max="1537" width="19.5546875" customWidth="1"/>
    <col min="1793" max="1793" width="19.5546875" customWidth="1"/>
    <col min="2049" max="2049" width="19.5546875" customWidth="1"/>
    <col min="2305" max="2305" width="19.5546875" customWidth="1"/>
    <col min="2561" max="2561" width="19.5546875" customWidth="1"/>
    <col min="2817" max="2817" width="19.5546875" customWidth="1"/>
    <col min="3073" max="3073" width="19.5546875" customWidth="1"/>
    <col min="3329" max="3329" width="19.5546875" customWidth="1"/>
    <col min="3585" max="3585" width="19.5546875" customWidth="1"/>
    <col min="3841" max="3841" width="19.5546875" customWidth="1"/>
    <col min="4097" max="4097" width="19.5546875" customWidth="1"/>
    <col min="4353" max="4353" width="19.5546875" customWidth="1"/>
    <col min="4609" max="4609" width="19.5546875" customWidth="1"/>
    <col min="4865" max="4865" width="19.5546875" customWidth="1"/>
    <col min="5121" max="5121" width="19.5546875" customWidth="1"/>
    <col min="5377" max="5377" width="19.5546875" customWidth="1"/>
    <col min="5633" max="5633" width="19.5546875" customWidth="1"/>
    <col min="5889" max="5889" width="19.5546875" customWidth="1"/>
    <col min="6145" max="6145" width="19.5546875" customWidth="1"/>
    <col min="6401" max="6401" width="19.5546875" customWidth="1"/>
    <col min="6657" max="6657" width="19.5546875" customWidth="1"/>
    <col min="6913" max="6913" width="19.5546875" customWidth="1"/>
    <col min="7169" max="7169" width="19.5546875" customWidth="1"/>
    <col min="7425" max="7425" width="19.5546875" customWidth="1"/>
    <col min="7681" max="7681" width="19.5546875" customWidth="1"/>
    <col min="7937" max="7937" width="19.5546875" customWidth="1"/>
    <col min="8193" max="8193" width="19.5546875" customWidth="1"/>
    <col min="8449" max="8449" width="19.5546875" customWidth="1"/>
    <col min="8705" max="8705" width="19.5546875" customWidth="1"/>
    <col min="8961" max="8961" width="19.5546875" customWidth="1"/>
    <col min="9217" max="9217" width="19.5546875" customWidth="1"/>
    <col min="9473" max="9473" width="19.5546875" customWidth="1"/>
    <col min="9729" max="9729" width="19.5546875" customWidth="1"/>
    <col min="9985" max="9985" width="19.5546875" customWidth="1"/>
    <col min="10241" max="10241" width="19.5546875" customWidth="1"/>
    <col min="10497" max="10497" width="19.5546875" customWidth="1"/>
    <col min="10753" max="10753" width="19.5546875" customWidth="1"/>
    <col min="11009" max="11009" width="19.5546875" customWidth="1"/>
    <col min="11265" max="11265" width="19.5546875" customWidth="1"/>
    <col min="11521" max="11521" width="19.5546875" customWidth="1"/>
    <col min="11777" max="11777" width="19.5546875" customWidth="1"/>
    <col min="12033" max="12033" width="19.5546875" customWidth="1"/>
    <col min="12289" max="12289" width="19.5546875" customWidth="1"/>
    <col min="12545" max="12545" width="19.5546875" customWidth="1"/>
    <col min="12801" max="12801" width="19.5546875" customWidth="1"/>
    <col min="13057" max="13057" width="19.5546875" customWidth="1"/>
    <col min="13313" max="13313" width="19.5546875" customWidth="1"/>
    <col min="13569" max="13569" width="19.5546875" customWidth="1"/>
    <col min="13825" max="13825" width="19.5546875" customWidth="1"/>
    <col min="14081" max="14081" width="19.5546875" customWidth="1"/>
    <col min="14337" max="14337" width="19.5546875" customWidth="1"/>
    <col min="14593" max="14593" width="19.5546875" customWidth="1"/>
    <col min="14849" max="14849" width="19.5546875" customWidth="1"/>
    <col min="15105" max="15105" width="19.5546875" customWidth="1"/>
    <col min="15361" max="15361" width="19.5546875" customWidth="1"/>
    <col min="15617" max="15617" width="19.5546875" customWidth="1"/>
    <col min="15873" max="15873" width="19.5546875" customWidth="1"/>
    <col min="16129" max="16129" width="19.5546875" customWidth="1"/>
  </cols>
  <sheetData>
    <row r="1" spans="1:5" ht="15.6" x14ac:dyDescent="0.3">
      <c r="A1" s="23" t="s">
        <v>30</v>
      </c>
    </row>
    <row r="3" spans="1:5" x14ac:dyDescent="0.3">
      <c r="A3" s="24" t="s">
        <v>31</v>
      </c>
      <c r="B3" s="24"/>
      <c r="C3" s="24"/>
      <c r="D3" s="24"/>
      <c r="E3" s="24"/>
    </row>
    <row r="4" spans="1:5" x14ac:dyDescent="0.3">
      <c r="B4" t="s">
        <v>32</v>
      </c>
      <c r="C4" t="s">
        <v>33</v>
      </c>
      <c r="E4" t="s">
        <v>34</v>
      </c>
    </row>
    <row r="5" spans="1:5" x14ac:dyDescent="0.3">
      <c r="A5" t="s">
        <v>35</v>
      </c>
      <c r="B5">
        <v>2047</v>
      </c>
      <c r="C5">
        <v>51147</v>
      </c>
      <c r="E5">
        <f>B5+C5+D5</f>
        <v>53194</v>
      </c>
    </row>
    <row r="6" spans="1:5" x14ac:dyDescent="0.3">
      <c r="A6" t="s">
        <v>36</v>
      </c>
      <c r="C6">
        <v>6344</v>
      </c>
      <c r="E6">
        <f>B6+C6+D6</f>
        <v>6344</v>
      </c>
    </row>
    <row r="7" spans="1:5" x14ac:dyDescent="0.3">
      <c r="A7" t="s">
        <v>37</v>
      </c>
      <c r="B7">
        <v>1119</v>
      </c>
      <c r="C7">
        <v>28231</v>
      </c>
      <c r="E7">
        <f>B7+C7+D7</f>
        <v>29350</v>
      </c>
    </row>
    <row r="8" spans="1:5" ht="15.6" x14ac:dyDescent="0.3">
      <c r="A8" s="25" t="s">
        <v>34</v>
      </c>
      <c r="B8" s="25">
        <f>SUM(B5:B7)</f>
        <v>3166</v>
      </c>
      <c r="C8" s="25">
        <f>SUM(C5:C7)</f>
        <v>85722</v>
      </c>
      <c r="E8" s="25">
        <f>SUM(E5:E7)</f>
        <v>88888</v>
      </c>
    </row>
    <row r="10" spans="1:5" x14ac:dyDescent="0.3">
      <c r="A10" s="24" t="s">
        <v>38</v>
      </c>
      <c r="B10" s="24"/>
      <c r="C10" s="24"/>
      <c r="D10" s="24"/>
      <c r="E10" s="24"/>
    </row>
    <row r="11" spans="1:5" x14ac:dyDescent="0.3">
      <c r="A11" t="s">
        <v>39</v>
      </c>
      <c r="B11" t="s">
        <v>32</v>
      </c>
      <c r="C11" t="s">
        <v>33</v>
      </c>
      <c r="E11" t="s">
        <v>34</v>
      </c>
    </row>
    <row r="12" spans="1:5" x14ac:dyDescent="0.3">
      <c r="A12" t="s">
        <v>35</v>
      </c>
      <c r="B12">
        <v>0</v>
      </c>
      <c r="C12">
        <v>38</v>
      </c>
      <c r="E12">
        <f>B12+C12+D12</f>
        <v>38</v>
      </c>
    </row>
    <row r="13" spans="1:5" x14ac:dyDescent="0.3">
      <c r="A13" t="s">
        <v>36</v>
      </c>
      <c r="B13">
        <v>0</v>
      </c>
      <c r="C13">
        <v>0</v>
      </c>
      <c r="E13">
        <f>B13+C13+D13</f>
        <v>0</v>
      </c>
    </row>
    <row r="14" spans="1:5" x14ac:dyDescent="0.3">
      <c r="A14" t="s">
        <v>37</v>
      </c>
      <c r="B14">
        <v>0</v>
      </c>
      <c r="C14">
        <v>143</v>
      </c>
      <c r="E14">
        <f>B14+C14+D14</f>
        <v>143</v>
      </c>
    </row>
    <row r="15" spans="1:5" ht="15.6" x14ac:dyDescent="0.3">
      <c r="A15" s="25" t="s">
        <v>34</v>
      </c>
      <c r="B15" s="25">
        <f>SUM(B12:B14)</f>
        <v>0</v>
      </c>
      <c r="C15" s="25">
        <f>SUM(C12:C14)</f>
        <v>181</v>
      </c>
      <c r="D15" s="25">
        <f>SUM(D12:D14)</f>
        <v>0</v>
      </c>
      <c r="E15" s="25">
        <f>SUM(E12:E14)</f>
        <v>181</v>
      </c>
    </row>
    <row r="16" spans="1:5" ht="15.6" x14ac:dyDescent="0.3">
      <c r="D16" s="25"/>
    </row>
    <row r="17" spans="1:5" x14ac:dyDescent="0.3">
      <c r="A17" s="24" t="s">
        <v>40</v>
      </c>
      <c r="B17" s="24"/>
      <c r="C17" s="24"/>
      <c r="D17" s="24"/>
      <c r="E17" s="24"/>
    </row>
    <row r="18" spans="1:5" x14ac:dyDescent="0.3">
      <c r="A18" t="s">
        <v>39</v>
      </c>
      <c r="B18" t="s">
        <v>41</v>
      </c>
      <c r="C18" t="s">
        <v>42</v>
      </c>
      <c r="D18" t="s">
        <v>43</v>
      </c>
      <c r="E18" t="s">
        <v>34</v>
      </c>
    </row>
    <row r="19" spans="1:5" x14ac:dyDescent="0.3">
      <c r="A19" t="s">
        <v>35</v>
      </c>
      <c r="B19">
        <v>352</v>
      </c>
      <c r="C19">
        <v>0</v>
      </c>
      <c r="D19">
        <v>150</v>
      </c>
      <c r="E19">
        <f>B19+C19+D19</f>
        <v>502</v>
      </c>
    </row>
    <row r="20" spans="1:5" x14ac:dyDescent="0.3">
      <c r="A20" t="s">
        <v>36</v>
      </c>
      <c r="B20">
        <v>0</v>
      </c>
      <c r="C20">
        <v>0</v>
      </c>
      <c r="D20">
        <v>0</v>
      </c>
      <c r="E20">
        <f>B20+C20+D20</f>
        <v>0</v>
      </c>
    </row>
    <row r="21" spans="1:5" x14ac:dyDescent="0.3">
      <c r="A21" t="s">
        <v>37</v>
      </c>
      <c r="B21">
        <v>248</v>
      </c>
      <c r="C21">
        <v>1</v>
      </c>
      <c r="D21">
        <v>84</v>
      </c>
      <c r="E21">
        <f>B21+C21+D21</f>
        <v>333</v>
      </c>
    </row>
    <row r="22" spans="1:5" s="25" customFormat="1" ht="15.6" x14ac:dyDescent="0.3">
      <c r="A22" s="25" t="s">
        <v>34</v>
      </c>
      <c r="B22" s="25">
        <f>SUM(B19:B21)</f>
        <v>600</v>
      </c>
      <c r="C22" s="25">
        <f>SUM(C19:C21)</f>
        <v>1</v>
      </c>
      <c r="D22" s="25">
        <f>SUM(D19:D21)</f>
        <v>234</v>
      </c>
      <c r="E22" s="25">
        <f>SUM(E19:E21)</f>
        <v>835</v>
      </c>
    </row>
    <row r="24" spans="1:5" x14ac:dyDescent="0.3">
      <c r="A24" s="24" t="s">
        <v>44</v>
      </c>
      <c r="B24" s="24"/>
      <c r="C24" s="24"/>
      <c r="D24" s="24"/>
      <c r="E24" s="24"/>
    </row>
    <row r="25" spans="1:5" x14ac:dyDescent="0.3">
      <c r="B25" t="s">
        <v>32</v>
      </c>
      <c r="C25" t="s">
        <v>33</v>
      </c>
      <c r="E25" t="s">
        <v>34</v>
      </c>
    </row>
    <row r="26" spans="1:5" x14ac:dyDescent="0.3">
      <c r="A26" t="s">
        <v>35</v>
      </c>
      <c r="B26">
        <v>1707</v>
      </c>
      <c r="C26">
        <v>51023</v>
      </c>
      <c r="E26">
        <f>B26+C26+D26</f>
        <v>52730</v>
      </c>
    </row>
    <row r="27" spans="1:5" x14ac:dyDescent="0.3">
      <c r="A27" t="s">
        <v>36</v>
      </c>
      <c r="B27">
        <v>0</v>
      </c>
      <c r="C27">
        <v>6344</v>
      </c>
      <c r="E27">
        <f>B27+C27+D27</f>
        <v>6344</v>
      </c>
    </row>
    <row r="28" spans="1:5" x14ac:dyDescent="0.3">
      <c r="A28" t="s">
        <v>37</v>
      </c>
      <c r="B28">
        <v>884</v>
      </c>
      <c r="C28">
        <v>28276</v>
      </c>
      <c r="E28">
        <f>B28+C28+D28</f>
        <v>29160</v>
      </c>
    </row>
    <row r="29" spans="1:5" ht="15.6" x14ac:dyDescent="0.3">
      <c r="A29" s="25" t="s">
        <v>34</v>
      </c>
      <c r="B29" s="25">
        <f>SUM(B26:B28)</f>
        <v>2591</v>
      </c>
      <c r="C29" s="25">
        <f>SUM(C26:C28)</f>
        <v>85643</v>
      </c>
      <c r="D29" s="25">
        <f>SUM(D26:D28)</f>
        <v>0</v>
      </c>
      <c r="E29" s="25">
        <f>SUM(E26:E28)</f>
        <v>88234</v>
      </c>
    </row>
    <row r="31" spans="1:5" ht="15.6" x14ac:dyDescent="0.3">
      <c r="A31" s="26" t="s">
        <v>45</v>
      </c>
      <c r="B31" s="24"/>
      <c r="C31" s="24"/>
      <c r="D31" s="24"/>
      <c r="E31" s="24"/>
    </row>
    <row r="32" spans="1:5" x14ac:dyDescent="0.3">
      <c r="A32" t="s">
        <v>35</v>
      </c>
      <c r="E32">
        <f>E26-E5</f>
        <v>-464</v>
      </c>
    </row>
    <row r="33" spans="1:5" x14ac:dyDescent="0.3">
      <c r="A33" t="s">
        <v>36</v>
      </c>
      <c r="E33">
        <f>E27-E6</f>
        <v>0</v>
      </c>
    </row>
    <row r="34" spans="1:5" x14ac:dyDescent="0.3">
      <c r="A34" t="s">
        <v>37</v>
      </c>
      <c r="E34">
        <f>E28-E7</f>
        <v>-190</v>
      </c>
    </row>
    <row r="35" spans="1:5" ht="15.6" x14ac:dyDescent="0.3">
      <c r="A35" s="25" t="s">
        <v>34</v>
      </c>
      <c r="B35" s="25"/>
      <c r="C35" s="25"/>
      <c r="D35" s="25"/>
      <c r="E35" s="25">
        <f>SUM(E32:E34)</f>
        <v>-654</v>
      </c>
    </row>
    <row r="37" spans="1:5" x14ac:dyDescent="0.3">
      <c r="A37" t="s">
        <v>46</v>
      </c>
    </row>
    <row r="38" spans="1:5" x14ac:dyDescent="0.3">
      <c r="A38" t="s">
        <v>47</v>
      </c>
    </row>
    <row r="39" spans="1:5" x14ac:dyDescent="0.3">
      <c r="A39" t="s">
        <v>48</v>
      </c>
    </row>
    <row r="40" spans="1:5" x14ac:dyDescent="0.3">
      <c r="A40" t="s">
        <v>49</v>
      </c>
    </row>
    <row r="41" spans="1:5" x14ac:dyDescent="0.3">
      <c r="A41" t="s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G41"/>
  <sheetViews>
    <sheetView topLeftCell="A10" workbookViewId="0">
      <selection activeCell="E34" sqref="E34"/>
    </sheetView>
  </sheetViews>
  <sheetFormatPr defaultRowHeight="14.4" x14ac:dyDescent="0.3"/>
  <cols>
    <col min="1" max="1" width="24.5546875" bestFit="1" customWidth="1"/>
    <col min="9" max="9" width="15.6640625" bestFit="1" customWidth="1"/>
    <col min="10" max="10" width="24.44140625" bestFit="1" customWidth="1"/>
    <col min="11" max="11" width="15" bestFit="1" customWidth="1"/>
  </cols>
  <sheetData>
    <row r="1" spans="1:6" ht="15.6" x14ac:dyDescent="0.3">
      <c r="A1" s="23" t="s">
        <v>30</v>
      </c>
    </row>
    <row r="2" spans="1:6" ht="15.6" x14ac:dyDescent="0.3">
      <c r="A2" s="23"/>
    </row>
    <row r="3" spans="1:6" x14ac:dyDescent="0.3">
      <c r="A3" s="24" t="s">
        <v>44</v>
      </c>
      <c r="B3" s="24"/>
      <c r="C3" s="24"/>
      <c r="D3" s="24"/>
      <c r="E3" s="24"/>
      <c r="F3" s="24"/>
    </row>
    <row r="4" spans="1:6" x14ac:dyDescent="0.3">
      <c r="B4" t="s">
        <v>32</v>
      </c>
      <c r="C4" t="s">
        <v>33</v>
      </c>
      <c r="F4" t="s">
        <v>34</v>
      </c>
    </row>
    <row r="5" spans="1:6" x14ac:dyDescent="0.3">
      <c r="A5" t="s">
        <v>35</v>
      </c>
      <c r="B5">
        <v>1707</v>
      </c>
      <c r="C5">
        <v>51023</v>
      </c>
      <c r="F5">
        <f>B5+C5+D5</f>
        <v>52730</v>
      </c>
    </row>
    <row r="6" spans="1:6" x14ac:dyDescent="0.3">
      <c r="A6" t="s">
        <v>36</v>
      </c>
      <c r="B6">
        <v>0</v>
      </c>
      <c r="C6">
        <v>6344</v>
      </c>
      <c r="F6">
        <f>B6+C6+D6</f>
        <v>6344</v>
      </c>
    </row>
    <row r="7" spans="1:6" x14ac:dyDescent="0.3">
      <c r="A7" t="s">
        <v>37</v>
      </c>
      <c r="B7">
        <v>884</v>
      </c>
      <c r="C7">
        <v>28276</v>
      </c>
      <c r="F7">
        <f>B7+C7+D7</f>
        <v>29160</v>
      </c>
    </row>
    <row r="8" spans="1:6" ht="15.6" x14ac:dyDescent="0.3">
      <c r="A8" s="25" t="s">
        <v>34</v>
      </c>
      <c r="B8" s="25">
        <f>SUM(B5:B7)</f>
        <v>2591</v>
      </c>
      <c r="C8" s="25">
        <f>SUM(C5:C7)</f>
        <v>85643</v>
      </c>
      <c r="D8" s="25"/>
      <c r="E8" s="25"/>
      <c r="F8" s="25">
        <f>SUM(F5:F7)</f>
        <v>88234</v>
      </c>
    </row>
    <row r="10" spans="1:6" x14ac:dyDescent="0.3">
      <c r="A10" s="24" t="s">
        <v>60</v>
      </c>
      <c r="B10" s="24"/>
      <c r="C10" s="24"/>
      <c r="D10" s="24"/>
      <c r="E10" s="24"/>
      <c r="F10" s="24"/>
    </row>
    <row r="11" spans="1:6" x14ac:dyDescent="0.3">
      <c r="B11" t="s">
        <v>57</v>
      </c>
      <c r="C11" t="s">
        <v>33</v>
      </c>
      <c r="F11" t="s">
        <v>56</v>
      </c>
    </row>
    <row r="12" spans="1:6" x14ac:dyDescent="0.3">
      <c r="A12" t="s">
        <v>35</v>
      </c>
      <c r="B12">
        <v>575</v>
      </c>
      <c r="C12">
        <v>1441</v>
      </c>
      <c r="F12">
        <f>SUM(B12:D12)</f>
        <v>2016</v>
      </c>
    </row>
    <row r="13" spans="1:6" x14ac:dyDescent="0.3">
      <c r="A13" t="s">
        <v>53</v>
      </c>
      <c r="B13">
        <v>0</v>
      </c>
      <c r="C13">
        <v>0</v>
      </c>
      <c r="F13">
        <f>SUM(B13:D13)</f>
        <v>0</v>
      </c>
    </row>
    <row r="14" spans="1:6" x14ac:dyDescent="0.3">
      <c r="A14" t="s">
        <v>54</v>
      </c>
      <c r="B14">
        <v>423</v>
      </c>
      <c r="C14">
        <v>1731</v>
      </c>
      <c r="F14">
        <f>SUM(B14:D14)</f>
        <v>2154</v>
      </c>
    </row>
    <row r="15" spans="1:6" ht="15.6" x14ac:dyDescent="0.3">
      <c r="A15" s="25" t="s">
        <v>55</v>
      </c>
      <c r="B15" s="25">
        <f>SUM(B12:B14)</f>
        <v>998</v>
      </c>
      <c r="C15" s="25">
        <f>SUM(C12:C14)</f>
        <v>3172</v>
      </c>
      <c r="D15" s="25"/>
      <c r="E15" s="25"/>
      <c r="F15" s="25">
        <f>SUM(F12:F14)</f>
        <v>4170</v>
      </c>
    </row>
    <row r="17" spans="1:7" x14ac:dyDescent="0.3">
      <c r="A17" s="29" t="s">
        <v>61</v>
      </c>
      <c r="B17" s="29"/>
      <c r="C17" s="29"/>
      <c r="D17" s="29"/>
      <c r="E17" s="29"/>
      <c r="F17" s="29"/>
    </row>
    <row r="18" spans="1:7" x14ac:dyDescent="0.3">
      <c r="A18" t="s">
        <v>39</v>
      </c>
      <c r="B18" t="s">
        <v>41</v>
      </c>
      <c r="C18" t="s">
        <v>42</v>
      </c>
      <c r="D18" t="s">
        <v>43</v>
      </c>
      <c r="E18" t="s">
        <v>58</v>
      </c>
      <c r="F18" t="s">
        <v>34</v>
      </c>
    </row>
    <row r="19" spans="1:7" x14ac:dyDescent="0.3">
      <c r="A19" t="s">
        <v>35</v>
      </c>
      <c r="B19">
        <v>912</v>
      </c>
      <c r="C19">
        <v>0</v>
      </c>
      <c r="D19">
        <v>328</v>
      </c>
      <c r="E19">
        <v>2</v>
      </c>
      <c r="F19">
        <f>SUM(B19:E19)</f>
        <v>1242</v>
      </c>
    </row>
    <row r="20" spans="1:7" x14ac:dyDescent="0.3">
      <c r="A20" t="s">
        <v>36</v>
      </c>
      <c r="B20">
        <v>0</v>
      </c>
      <c r="C20">
        <v>611</v>
      </c>
      <c r="D20">
        <v>0</v>
      </c>
      <c r="E20">
        <v>0</v>
      </c>
      <c r="F20">
        <f>SUM(B20:E20)</f>
        <v>611</v>
      </c>
    </row>
    <row r="21" spans="1:7" x14ac:dyDescent="0.3">
      <c r="A21" t="s">
        <v>37</v>
      </c>
      <c r="B21">
        <v>539</v>
      </c>
      <c r="C21">
        <v>1</v>
      </c>
      <c r="D21">
        <v>133</v>
      </c>
      <c r="E21">
        <v>4</v>
      </c>
      <c r="F21">
        <f>SUM(B21:E21)</f>
        <v>677</v>
      </c>
    </row>
    <row r="22" spans="1:7" ht="15.6" x14ac:dyDescent="0.3">
      <c r="A22" t="s">
        <v>34</v>
      </c>
      <c r="B22" s="25">
        <f>SUM(B19:B21)</f>
        <v>1451</v>
      </c>
      <c r="C22" s="25">
        <f>SUM(C19:C21)</f>
        <v>612</v>
      </c>
      <c r="D22" s="25">
        <f>SUM(D19:D21)</f>
        <v>461</v>
      </c>
      <c r="E22" s="25">
        <f>SUM(E19:E21)</f>
        <v>6</v>
      </c>
      <c r="F22" s="25">
        <f>SUM(F19:F21)</f>
        <v>2530</v>
      </c>
      <c r="G22" s="25"/>
    </row>
    <row r="23" spans="1:7" x14ac:dyDescent="0.3">
      <c r="E23" t="s">
        <v>179</v>
      </c>
    </row>
    <row r="24" spans="1:7" x14ac:dyDescent="0.3">
      <c r="A24" s="24" t="s">
        <v>59</v>
      </c>
      <c r="B24" s="24"/>
      <c r="C24" s="24"/>
      <c r="D24" s="24"/>
      <c r="E24" s="24"/>
    </row>
    <row r="25" spans="1:7" x14ac:dyDescent="0.3">
      <c r="B25" t="s">
        <v>32</v>
      </c>
      <c r="C25" t="s">
        <v>33</v>
      </c>
      <c r="F25" t="s">
        <v>55</v>
      </c>
    </row>
    <row r="26" spans="1:7" x14ac:dyDescent="0.3">
      <c r="A26" t="s">
        <v>35</v>
      </c>
      <c r="B26">
        <v>2054</v>
      </c>
      <c r="C26">
        <v>51450</v>
      </c>
      <c r="F26">
        <f>SUM(B26:E26)</f>
        <v>53504</v>
      </c>
    </row>
    <row r="27" spans="1:7" x14ac:dyDescent="0.3">
      <c r="A27" t="s">
        <v>36</v>
      </c>
      <c r="B27">
        <v>0</v>
      </c>
      <c r="C27">
        <v>5733</v>
      </c>
      <c r="F27">
        <f>SUM(B27:E27)</f>
        <v>5733</v>
      </c>
    </row>
    <row r="28" spans="1:7" x14ac:dyDescent="0.3">
      <c r="A28" t="s">
        <v>37</v>
      </c>
      <c r="B28">
        <v>1146</v>
      </c>
      <c r="C28">
        <v>29491</v>
      </c>
      <c r="F28">
        <f>SUM(B28:E28)</f>
        <v>30637</v>
      </c>
    </row>
    <row r="29" spans="1:7" ht="15.6" x14ac:dyDescent="0.3">
      <c r="A29" s="25" t="s">
        <v>34</v>
      </c>
      <c r="B29" s="25">
        <f>SUM(B28)</f>
        <v>1146</v>
      </c>
      <c r="C29" s="25">
        <f>SUM(C26:C28)</f>
        <v>86674</v>
      </c>
      <c r="D29" s="25"/>
      <c r="E29" s="25"/>
      <c r="F29" s="25">
        <f>SUM(F26:F28)</f>
        <v>89874</v>
      </c>
    </row>
    <row r="31" spans="1:7" ht="15.6" x14ac:dyDescent="0.3">
      <c r="A31" s="26" t="s">
        <v>62</v>
      </c>
      <c r="B31" s="24"/>
      <c r="C31" s="24"/>
      <c r="D31" s="24"/>
      <c r="E31" s="24"/>
    </row>
    <row r="32" spans="1:7" x14ac:dyDescent="0.3">
      <c r="A32" t="s">
        <v>35</v>
      </c>
      <c r="E32">
        <f>F26-F5</f>
        <v>774</v>
      </c>
    </row>
    <row r="33" spans="1:5" x14ac:dyDescent="0.3">
      <c r="A33" t="s">
        <v>36</v>
      </c>
      <c r="E33">
        <f>F27-F6</f>
        <v>-611</v>
      </c>
    </row>
    <row r="34" spans="1:5" x14ac:dyDescent="0.3">
      <c r="A34" t="s">
        <v>37</v>
      </c>
      <c r="E34">
        <f>F28-F7</f>
        <v>1477</v>
      </c>
    </row>
    <row r="35" spans="1:5" ht="15.6" x14ac:dyDescent="0.3">
      <c r="A35" s="25" t="s">
        <v>34</v>
      </c>
      <c r="B35" s="25"/>
      <c r="C35" s="25"/>
      <c r="D35" s="25"/>
      <c r="E35" s="25">
        <f>SUM(E32:E34)</f>
        <v>1640</v>
      </c>
    </row>
    <row r="37" spans="1:5" x14ac:dyDescent="0.3">
      <c r="A37" t="s">
        <v>46</v>
      </c>
    </row>
    <row r="38" spans="1:5" x14ac:dyDescent="0.3">
      <c r="A38" t="s">
        <v>47</v>
      </c>
    </row>
    <row r="39" spans="1:5" x14ac:dyDescent="0.3">
      <c r="A39" t="s">
        <v>48</v>
      </c>
    </row>
    <row r="40" spans="1:5" x14ac:dyDescent="0.3">
      <c r="A40" t="s">
        <v>49</v>
      </c>
    </row>
    <row r="41" spans="1:5" x14ac:dyDescent="0.3">
      <c r="A41" t="s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G41"/>
  <sheetViews>
    <sheetView workbookViewId="0"/>
  </sheetViews>
  <sheetFormatPr defaultRowHeight="14.4" x14ac:dyDescent="0.3"/>
  <sheetData>
    <row r="1" spans="1:6" ht="15.6" x14ac:dyDescent="0.3">
      <c r="A1" s="23" t="s">
        <v>30</v>
      </c>
    </row>
    <row r="2" spans="1:6" ht="15.6" x14ac:dyDescent="0.3">
      <c r="A2" s="23"/>
    </row>
    <row r="3" spans="1:6" x14ac:dyDescent="0.3">
      <c r="A3" s="24" t="s">
        <v>59</v>
      </c>
      <c r="B3" s="24"/>
      <c r="C3" s="24"/>
      <c r="D3" s="24"/>
      <c r="E3" s="24"/>
    </row>
    <row r="4" spans="1:6" x14ac:dyDescent="0.3">
      <c r="B4" t="s">
        <v>32</v>
      </c>
      <c r="C4" t="s">
        <v>33</v>
      </c>
      <c r="F4" t="s">
        <v>55</v>
      </c>
    </row>
    <row r="5" spans="1:6" x14ac:dyDescent="0.3">
      <c r="A5" t="s">
        <v>35</v>
      </c>
      <c r="B5">
        <v>2054</v>
      </c>
      <c r="C5">
        <v>51450</v>
      </c>
      <c r="F5">
        <f>SUM(B5:E5)</f>
        <v>53504</v>
      </c>
    </row>
    <row r="6" spans="1:6" x14ac:dyDescent="0.3">
      <c r="A6" t="s">
        <v>36</v>
      </c>
      <c r="B6">
        <v>0</v>
      </c>
      <c r="C6">
        <v>5733</v>
      </c>
      <c r="F6">
        <f>SUM(B6:E6)</f>
        <v>5733</v>
      </c>
    </row>
    <row r="7" spans="1:6" x14ac:dyDescent="0.3">
      <c r="A7" t="s">
        <v>37</v>
      </c>
      <c r="B7">
        <v>1146</v>
      </c>
      <c r="C7">
        <v>29491</v>
      </c>
      <c r="F7">
        <f>SUM(B7:E7)</f>
        <v>30637</v>
      </c>
    </row>
    <row r="8" spans="1:6" ht="15.6" x14ac:dyDescent="0.3">
      <c r="A8" s="25" t="s">
        <v>34</v>
      </c>
      <c r="B8" s="25">
        <f>SUM(B7)</f>
        <v>1146</v>
      </c>
      <c r="C8" s="25">
        <f>SUM(C5:C7)</f>
        <v>86674</v>
      </c>
      <c r="D8" s="25"/>
      <c r="E8" s="25"/>
      <c r="F8" s="25">
        <f>SUM(F5:F7)</f>
        <v>89874</v>
      </c>
    </row>
    <row r="10" spans="1:6" x14ac:dyDescent="0.3">
      <c r="A10" s="24" t="s">
        <v>65</v>
      </c>
      <c r="B10" s="24"/>
      <c r="C10" s="24"/>
      <c r="D10" s="24"/>
      <c r="E10" s="24"/>
      <c r="F10" s="24"/>
    </row>
    <row r="11" spans="1:6" x14ac:dyDescent="0.3">
      <c r="B11" t="s">
        <v>57</v>
      </c>
      <c r="C11" t="s">
        <v>33</v>
      </c>
      <c r="F11" t="s">
        <v>56</v>
      </c>
    </row>
    <row r="12" spans="1:6" x14ac:dyDescent="0.3">
      <c r="A12" t="s">
        <v>35</v>
      </c>
      <c r="B12">
        <v>624</v>
      </c>
      <c r="C12">
        <v>32</v>
      </c>
      <c r="F12">
        <f>SUM(B12:D12)</f>
        <v>656</v>
      </c>
    </row>
    <row r="13" spans="1:6" x14ac:dyDescent="0.3">
      <c r="A13" t="s">
        <v>53</v>
      </c>
      <c r="B13">
        <v>0</v>
      </c>
      <c r="C13">
        <v>0</v>
      </c>
      <c r="F13">
        <f>SUM(B13:D13)</f>
        <v>0</v>
      </c>
    </row>
    <row r="14" spans="1:6" x14ac:dyDescent="0.3">
      <c r="A14" t="s">
        <v>54</v>
      </c>
      <c r="B14">
        <v>232</v>
      </c>
      <c r="C14">
        <v>37</v>
      </c>
      <c r="F14">
        <f>SUM(B14:D14)</f>
        <v>269</v>
      </c>
    </row>
    <row r="15" spans="1:6" ht="15.6" x14ac:dyDescent="0.3">
      <c r="A15" s="25" t="s">
        <v>55</v>
      </c>
      <c r="B15" s="25">
        <f>SUM(B12:B14)</f>
        <v>856</v>
      </c>
      <c r="C15" s="25">
        <f>SUM(C12:C14)</f>
        <v>69</v>
      </c>
      <c r="D15" s="25"/>
      <c r="E15" s="25"/>
      <c r="F15" s="25">
        <f>SUM(F12:F14)</f>
        <v>925</v>
      </c>
    </row>
    <row r="17" spans="1:7" x14ac:dyDescent="0.3">
      <c r="A17" s="29" t="s">
        <v>66</v>
      </c>
      <c r="B17" s="29"/>
      <c r="C17" s="29"/>
      <c r="D17" s="29"/>
      <c r="E17" s="29"/>
      <c r="F17" s="29"/>
    </row>
    <row r="18" spans="1:7" x14ac:dyDescent="0.3">
      <c r="A18" t="s">
        <v>39</v>
      </c>
      <c r="B18" t="s">
        <v>41</v>
      </c>
      <c r="C18" t="s">
        <v>42</v>
      </c>
      <c r="D18" t="s">
        <v>43</v>
      </c>
      <c r="E18" t="s">
        <v>58</v>
      </c>
      <c r="F18" t="s">
        <v>34</v>
      </c>
    </row>
    <row r="19" spans="1:7" x14ac:dyDescent="0.3">
      <c r="A19" t="s">
        <v>35</v>
      </c>
      <c r="B19">
        <v>2499</v>
      </c>
      <c r="C19">
        <v>0</v>
      </c>
      <c r="D19">
        <v>497</v>
      </c>
      <c r="E19">
        <v>0</v>
      </c>
      <c r="F19">
        <f>SUM(B19:E19)</f>
        <v>2996</v>
      </c>
    </row>
    <row r="20" spans="1:7" x14ac:dyDescent="0.3">
      <c r="A20" t="s">
        <v>36</v>
      </c>
      <c r="B20">
        <v>0</v>
      </c>
      <c r="C20">
        <v>458</v>
      </c>
      <c r="D20">
        <v>0</v>
      </c>
      <c r="E20">
        <v>0</v>
      </c>
      <c r="F20">
        <f>SUM(B20:E20)</f>
        <v>458</v>
      </c>
    </row>
    <row r="21" spans="1:7" x14ac:dyDescent="0.3">
      <c r="A21" t="s">
        <v>37</v>
      </c>
      <c r="B21">
        <v>774</v>
      </c>
      <c r="C21">
        <v>1</v>
      </c>
      <c r="D21">
        <v>149</v>
      </c>
      <c r="E21">
        <v>7</v>
      </c>
      <c r="F21">
        <f>SUM(B21:E21)</f>
        <v>931</v>
      </c>
    </row>
    <row r="22" spans="1:7" ht="15.6" x14ac:dyDescent="0.3">
      <c r="A22" t="s">
        <v>34</v>
      </c>
      <c r="B22" s="25">
        <f>SUM(B19:B21)</f>
        <v>3273</v>
      </c>
      <c r="C22" s="25">
        <f>SUM(C19:C21)</f>
        <v>459</v>
      </c>
      <c r="D22" s="25">
        <f>SUM(D19:D21)</f>
        <v>646</v>
      </c>
      <c r="E22" s="25">
        <f>SUM(E19:E21)</f>
        <v>7</v>
      </c>
      <c r="F22" s="25">
        <f>SUM(F19:F21)</f>
        <v>4385</v>
      </c>
      <c r="G22" s="25"/>
    </row>
    <row r="24" spans="1:7" x14ac:dyDescent="0.3">
      <c r="A24" s="24" t="s">
        <v>64</v>
      </c>
      <c r="B24" s="24"/>
      <c r="C24" s="24"/>
      <c r="D24" s="24"/>
      <c r="E24" s="24"/>
    </row>
    <row r="25" spans="1:7" x14ac:dyDescent="0.3">
      <c r="B25" t="s">
        <v>32</v>
      </c>
      <c r="C25" t="s">
        <v>33</v>
      </c>
      <c r="F25" t="s">
        <v>55</v>
      </c>
    </row>
    <row r="26" spans="1:7" x14ac:dyDescent="0.3">
      <c r="A26" t="s">
        <v>35</v>
      </c>
      <c r="B26">
        <v>2436</v>
      </c>
      <c r="C26">
        <v>48728</v>
      </c>
      <c r="F26">
        <v>51164</v>
      </c>
    </row>
    <row r="27" spans="1:7" x14ac:dyDescent="0.3">
      <c r="A27" t="s">
        <v>36</v>
      </c>
      <c r="C27">
        <v>5275</v>
      </c>
      <c r="F27">
        <v>5275</v>
      </c>
    </row>
    <row r="28" spans="1:7" x14ac:dyDescent="0.3">
      <c r="A28" t="s">
        <v>37</v>
      </c>
      <c r="B28">
        <v>1150</v>
      </c>
      <c r="C28">
        <v>28825</v>
      </c>
      <c r="F28">
        <v>29975</v>
      </c>
    </row>
    <row r="29" spans="1:7" ht="15.6" x14ac:dyDescent="0.3">
      <c r="A29" s="25" t="s">
        <v>63</v>
      </c>
      <c r="B29" s="25">
        <v>3586</v>
      </c>
      <c r="C29" s="25">
        <v>82828</v>
      </c>
      <c r="D29" s="25"/>
      <c r="E29" s="25"/>
      <c r="F29" s="25">
        <v>86414</v>
      </c>
    </row>
    <row r="31" spans="1:7" ht="15.6" x14ac:dyDescent="0.3">
      <c r="A31" s="26" t="s">
        <v>67</v>
      </c>
      <c r="B31" s="24"/>
      <c r="C31" s="24"/>
      <c r="D31" s="24"/>
      <c r="E31" s="24"/>
    </row>
    <row r="32" spans="1:7" x14ac:dyDescent="0.3">
      <c r="A32" t="s">
        <v>35</v>
      </c>
      <c r="E32">
        <f>F26-F5</f>
        <v>-2340</v>
      </c>
    </row>
    <row r="33" spans="1:5" x14ac:dyDescent="0.3">
      <c r="A33" t="s">
        <v>36</v>
      </c>
      <c r="E33">
        <f>F27-F6</f>
        <v>-458</v>
      </c>
    </row>
    <row r="34" spans="1:5" x14ac:dyDescent="0.3">
      <c r="A34" t="s">
        <v>37</v>
      </c>
      <c r="E34">
        <f>F28-F7</f>
        <v>-662</v>
      </c>
    </row>
    <row r="35" spans="1:5" ht="15.6" x14ac:dyDescent="0.3">
      <c r="A35" s="25" t="s">
        <v>34</v>
      </c>
      <c r="B35" s="25"/>
      <c r="C35" s="25"/>
      <c r="D35" s="25"/>
      <c r="E35" s="25">
        <f>SUM(E32:E34)</f>
        <v>-3460</v>
      </c>
    </row>
    <row r="37" spans="1:5" x14ac:dyDescent="0.3">
      <c r="A37" t="s">
        <v>46</v>
      </c>
    </row>
    <row r="38" spans="1:5" x14ac:dyDescent="0.3">
      <c r="A38" t="s">
        <v>47</v>
      </c>
    </row>
    <row r="39" spans="1:5" x14ac:dyDescent="0.3">
      <c r="A39" t="s">
        <v>48</v>
      </c>
    </row>
    <row r="40" spans="1:5" x14ac:dyDescent="0.3">
      <c r="A40" t="s">
        <v>49</v>
      </c>
    </row>
    <row r="41" spans="1:5" x14ac:dyDescent="0.3">
      <c r="A41" t="s">
        <v>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2:G40"/>
  <sheetViews>
    <sheetView topLeftCell="A2" workbookViewId="0"/>
  </sheetViews>
  <sheetFormatPr defaultRowHeight="14.4" x14ac:dyDescent="0.3"/>
  <cols>
    <col min="1" max="1" width="24.109375" customWidth="1"/>
  </cols>
  <sheetData>
    <row r="2" spans="1:6" x14ac:dyDescent="0.3">
      <c r="A2" s="24" t="s">
        <v>64</v>
      </c>
      <c r="B2" s="24"/>
      <c r="C2" s="24"/>
      <c r="D2" s="24"/>
      <c r="E2" s="24"/>
    </row>
    <row r="3" spans="1:6" x14ac:dyDescent="0.3">
      <c r="B3" t="s">
        <v>32</v>
      </c>
      <c r="C3" t="s">
        <v>33</v>
      </c>
      <c r="F3" t="s">
        <v>55</v>
      </c>
    </row>
    <row r="4" spans="1:6" x14ac:dyDescent="0.3">
      <c r="A4" t="s">
        <v>35</v>
      </c>
      <c r="B4">
        <v>2436</v>
      </c>
      <c r="C4">
        <v>48728</v>
      </c>
      <c r="F4">
        <f>SUM(B4:E4)</f>
        <v>51164</v>
      </c>
    </row>
    <row r="5" spans="1:6" x14ac:dyDescent="0.3">
      <c r="A5" t="s">
        <v>36</v>
      </c>
      <c r="C5">
        <v>5275</v>
      </c>
      <c r="F5">
        <f>SUM(B5:E5)</f>
        <v>5275</v>
      </c>
    </row>
    <row r="6" spans="1:6" x14ac:dyDescent="0.3">
      <c r="A6" t="s">
        <v>37</v>
      </c>
      <c r="B6">
        <v>1150</v>
      </c>
      <c r="C6">
        <v>28825</v>
      </c>
      <c r="F6">
        <f>SUM(B6:E6)</f>
        <v>29975</v>
      </c>
    </row>
    <row r="7" spans="1:6" ht="15.6" x14ac:dyDescent="0.3">
      <c r="A7" s="25" t="s">
        <v>63</v>
      </c>
      <c r="B7" s="25">
        <f>SUM(B4:B6)</f>
        <v>3586</v>
      </c>
      <c r="C7" s="25">
        <f>SUM(C4:C6)</f>
        <v>82828</v>
      </c>
      <c r="D7" s="25"/>
      <c r="E7" s="25"/>
      <c r="F7" s="25">
        <f>SUM(F4:F6)</f>
        <v>86414</v>
      </c>
    </row>
    <row r="9" spans="1:6" x14ac:dyDescent="0.3">
      <c r="A9" s="24" t="s">
        <v>68</v>
      </c>
      <c r="B9" s="24"/>
      <c r="C9" s="24"/>
      <c r="D9" s="24"/>
      <c r="E9" s="24"/>
      <c r="F9" s="24"/>
    </row>
    <row r="10" spans="1:6" x14ac:dyDescent="0.3">
      <c r="B10" t="s">
        <v>57</v>
      </c>
      <c r="C10" t="s">
        <v>33</v>
      </c>
      <c r="F10" t="s">
        <v>56</v>
      </c>
    </row>
    <row r="11" spans="1:6" x14ac:dyDescent="0.3">
      <c r="A11" t="s">
        <v>35</v>
      </c>
      <c r="B11">
        <v>0</v>
      </c>
      <c r="C11">
        <v>2</v>
      </c>
      <c r="F11">
        <f>SUM(B11:D11)</f>
        <v>2</v>
      </c>
    </row>
    <row r="12" spans="1:6" x14ac:dyDescent="0.3">
      <c r="A12" t="s">
        <v>53</v>
      </c>
      <c r="B12">
        <v>0</v>
      </c>
      <c r="C12">
        <v>0</v>
      </c>
      <c r="F12">
        <f>SUM(B12:D12)</f>
        <v>0</v>
      </c>
    </row>
    <row r="13" spans="1:6" x14ac:dyDescent="0.3">
      <c r="A13" t="s">
        <v>54</v>
      </c>
      <c r="B13">
        <v>0</v>
      </c>
      <c r="C13">
        <v>2</v>
      </c>
      <c r="F13">
        <f>SUM(B13:D13)</f>
        <v>2</v>
      </c>
    </row>
    <row r="14" spans="1:6" ht="15.6" x14ac:dyDescent="0.3">
      <c r="A14" s="25" t="s">
        <v>55</v>
      </c>
      <c r="B14" s="25">
        <f>SUM(B11:B13)</f>
        <v>0</v>
      </c>
      <c r="C14" s="25">
        <f>SUM(C11:C13)</f>
        <v>4</v>
      </c>
      <c r="D14" s="25"/>
      <c r="E14" s="25"/>
      <c r="F14" s="25">
        <f>SUM(F11:F13)</f>
        <v>4</v>
      </c>
    </row>
    <row r="16" spans="1:6" x14ac:dyDescent="0.3">
      <c r="A16" s="29" t="s">
        <v>69</v>
      </c>
      <c r="B16" s="29"/>
      <c r="C16" s="29"/>
      <c r="D16" s="29"/>
      <c r="E16" s="29"/>
      <c r="F16" s="29"/>
    </row>
    <row r="17" spans="1:7" x14ac:dyDescent="0.3">
      <c r="A17" t="s">
        <v>39</v>
      </c>
      <c r="B17" t="s">
        <v>41</v>
      </c>
      <c r="C17" t="s">
        <v>42</v>
      </c>
      <c r="D17" t="s">
        <v>43</v>
      </c>
      <c r="E17" t="s">
        <v>58</v>
      </c>
      <c r="F17" t="s">
        <v>34</v>
      </c>
    </row>
    <row r="18" spans="1:7" x14ac:dyDescent="0.3">
      <c r="A18" t="s">
        <v>35</v>
      </c>
      <c r="B18">
        <v>2318</v>
      </c>
      <c r="C18">
        <v>1</v>
      </c>
      <c r="D18">
        <v>254</v>
      </c>
      <c r="E18">
        <v>0</v>
      </c>
      <c r="F18">
        <f>SUM(B18:E18)</f>
        <v>2573</v>
      </c>
    </row>
    <row r="19" spans="1:7" x14ac:dyDescent="0.3">
      <c r="A19" t="s">
        <v>36</v>
      </c>
      <c r="B19">
        <v>0</v>
      </c>
      <c r="C19">
        <v>474</v>
      </c>
      <c r="D19">
        <v>0</v>
      </c>
      <c r="E19">
        <v>0</v>
      </c>
      <c r="F19">
        <f>SUM(B19:E19)</f>
        <v>474</v>
      </c>
    </row>
    <row r="20" spans="1:7" x14ac:dyDescent="0.3">
      <c r="A20" t="s">
        <v>37</v>
      </c>
      <c r="B20">
        <v>622</v>
      </c>
      <c r="C20">
        <v>1</v>
      </c>
      <c r="D20">
        <v>106</v>
      </c>
      <c r="E20">
        <v>1</v>
      </c>
      <c r="F20">
        <f>SUM(B20:E20)</f>
        <v>730</v>
      </c>
    </row>
    <row r="21" spans="1:7" ht="15.6" x14ac:dyDescent="0.3">
      <c r="A21" t="s">
        <v>34</v>
      </c>
      <c r="B21" s="25">
        <f>SUM(B18:B20)</f>
        <v>2940</v>
      </c>
      <c r="C21" s="25">
        <f>SUM(C18:C20)</f>
        <v>476</v>
      </c>
      <c r="D21" s="25">
        <f>SUM(D18:D20)</f>
        <v>360</v>
      </c>
      <c r="E21" s="25">
        <f>SUM(E18:E20)</f>
        <v>1</v>
      </c>
      <c r="F21" s="25">
        <f>SUM(F18:F20)</f>
        <v>3777</v>
      </c>
      <c r="G21" s="25"/>
    </row>
    <row r="23" spans="1:7" x14ac:dyDescent="0.3">
      <c r="A23" s="24" t="s">
        <v>70</v>
      </c>
      <c r="B23" s="24"/>
      <c r="C23" s="24"/>
      <c r="D23" s="24"/>
      <c r="E23" s="24"/>
    </row>
    <row r="24" spans="1:7" x14ac:dyDescent="0.3">
      <c r="B24" t="s">
        <v>32</v>
      </c>
      <c r="C24" t="s">
        <v>33</v>
      </c>
      <c r="F24" t="s">
        <v>55</v>
      </c>
    </row>
    <row r="25" spans="1:7" x14ac:dyDescent="0.3">
      <c r="A25" t="s">
        <v>35</v>
      </c>
      <c r="B25">
        <v>3155</v>
      </c>
      <c r="C25">
        <v>45438</v>
      </c>
      <c r="F25">
        <f>SUM(B25:E25)</f>
        <v>48593</v>
      </c>
    </row>
    <row r="26" spans="1:7" x14ac:dyDescent="0.3">
      <c r="A26" t="s">
        <v>36</v>
      </c>
      <c r="C26">
        <v>4801</v>
      </c>
      <c r="F26">
        <f>SUM(B26:E26)</f>
        <v>4801</v>
      </c>
    </row>
    <row r="27" spans="1:7" x14ac:dyDescent="0.3">
      <c r="A27" t="s">
        <v>37</v>
      </c>
      <c r="B27">
        <v>1745</v>
      </c>
      <c r="C27">
        <v>27502</v>
      </c>
      <c r="F27">
        <f>SUM(B27:E27)</f>
        <v>29247</v>
      </c>
    </row>
    <row r="28" spans="1:7" ht="15.6" x14ac:dyDescent="0.3">
      <c r="A28" s="25" t="s">
        <v>63</v>
      </c>
      <c r="B28" s="25">
        <f>SUM(B25:B27)</f>
        <v>4900</v>
      </c>
      <c r="C28" s="25">
        <f>SUM(C25:C27)</f>
        <v>77741</v>
      </c>
      <c r="D28" s="25"/>
      <c r="E28" s="25"/>
      <c r="F28" s="25">
        <f>SUM(F25:F27)</f>
        <v>82641</v>
      </c>
    </row>
    <row r="30" spans="1:7" ht="15.6" x14ac:dyDescent="0.3">
      <c r="A30" s="26" t="s">
        <v>71</v>
      </c>
      <c r="B30" s="24"/>
      <c r="C30" s="24"/>
      <c r="D30" s="24"/>
      <c r="E30" s="24"/>
    </row>
    <row r="31" spans="1:7" x14ac:dyDescent="0.3">
      <c r="A31" t="s">
        <v>35</v>
      </c>
      <c r="E31">
        <f>F25-F4</f>
        <v>-2571</v>
      </c>
    </row>
    <row r="32" spans="1:7" x14ac:dyDescent="0.3">
      <c r="A32" t="s">
        <v>36</v>
      </c>
      <c r="E32">
        <f>F26-F5</f>
        <v>-474</v>
      </c>
    </row>
    <row r="33" spans="1:5" x14ac:dyDescent="0.3">
      <c r="A33" t="s">
        <v>37</v>
      </c>
      <c r="E33">
        <f>F27-F6</f>
        <v>-728</v>
      </c>
    </row>
    <row r="34" spans="1:5" ht="15.6" x14ac:dyDescent="0.3">
      <c r="A34" s="25" t="s">
        <v>34</v>
      </c>
      <c r="B34" s="25"/>
      <c r="C34" s="25"/>
      <c r="D34" s="25"/>
      <c r="E34" s="25">
        <f>SUM(E31:E33)</f>
        <v>-3773</v>
      </c>
    </row>
    <row r="36" spans="1:5" x14ac:dyDescent="0.3">
      <c r="A36" t="s">
        <v>46</v>
      </c>
    </row>
    <row r="37" spans="1:5" x14ac:dyDescent="0.3">
      <c r="A37" t="s">
        <v>47</v>
      </c>
    </row>
    <row r="38" spans="1:5" x14ac:dyDescent="0.3">
      <c r="A38" t="s">
        <v>48</v>
      </c>
    </row>
    <row r="39" spans="1:5" x14ac:dyDescent="0.3">
      <c r="A39" t="s">
        <v>49</v>
      </c>
    </row>
    <row r="40" spans="1:5" x14ac:dyDescent="0.3">
      <c r="A40" t="s">
        <v>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2:F40"/>
  <sheetViews>
    <sheetView topLeftCell="B1" workbookViewId="0"/>
  </sheetViews>
  <sheetFormatPr defaultRowHeight="14.4" x14ac:dyDescent="0.3"/>
  <cols>
    <col min="1" max="1" width="67.88671875" bestFit="1" customWidth="1"/>
    <col min="6" max="6" width="6.6640625" bestFit="1" customWidth="1"/>
  </cols>
  <sheetData>
    <row r="2" spans="1:6" x14ac:dyDescent="0.3">
      <c r="A2" s="24" t="s">
        <v>70</v>
      </c>
      <c r="B2" s="24"/>
      <c r="C2" s="24"/>
      <c r="D2" s="24"/>
      <c r="E2" s="24"/>
    </row>
    <row r="3" spans="1:6" x14ac:dyDescent="0.3">
      <c r="B3" t="s">
        <v>32</v>
      </c>
      <c r="C3" t="s">
        <v>33</v>
      </c>
      <c r="F3" t="s">
        <v>55</v>
      </c>
    </row>
    <row r="4" spans="1:6" x14ac:dyDescent="0.3">
      <c r="A4" t="s">
        <v>35</v>
      </c>
      <c r="B4">
        <v>3155</v>
      </c>
      <c r="C4">
        <v>45438</v>
      </c>
      <c r="F4">
        <v>48593</v>
      </c>
    </row>
    <row r="5" spans="1:6" x14ac:dyDescent="0.3">
      <c r="A5" t="s">
        <v>36</v>
      </c>
      <c r="C5">
        <v>4801</v>
      </c>
      <c r="F5">
        <v>4801</v>
      </c>
    </row>
    <row r="6" spans="1:6" x14ac:dyDescent="0.3">
      <c r="A6" t="s">
        <v>37</v>
      </c>
      <c r="B6">
        <v>1745</v>
      </c>
      <c r="C6">
        <v>27502</v>
      </c>
      <c r="F6">
        <v>29247</v>
      </c>
    </row>
    <row r="7" spans="1:6" ht="15.6" x14ac:dyDescent="0.3">
      <c r="A7" s="25" t="s">
        <v>63</v>
      </c>
      <c r="B7" s="25">
        <v>4900</v>
      </c>
      <c r="C7" s="25">
        <v>77741</v>
      </c>
      <c r="D7" s="25"/>
      <c r="E7" s="25"/>
      <c r="F7" s="25">
        <v>82641</v>
      </c>
    </row>
    <row r="9" spans="1:6" x14ac:dyDescent="0.3">
      <c r="A9" s="24" t="s">
        <v>72</v>
      </c>
      <c r="B9" s="24"/>
      <c r="C9" s="24"/>
      <c r="D9" s="24"/>
      <c r="E9" s="24"/>
      <c r="F9" s="24"/>
    </row>
    <row r="10" spans="1:6" x14ac:dyDescent="0.3">
      <c r="B10" t="s">
        <v>57</v>
      </c>
      <c r="C10" t="s">
        <v>33</v>
      </c>
      <c r="F10" t="s">
        <v>56</v>
      </c>
    </row>
    <row r="11" spans="1:6" x14ac:dyDescent="0.3">
      <c r="A11" t="s">
        <v>35</v>
      </c>
      <c r="B11">
        <v>1372</v>
      </c>
      <c r="C11" s="43">
        <v>2476</v>
      </c>
      <c r="F11">
        <f>SUM(B11:D11)</f>
        <v>3848</v>
      </c>
    </row>
    <row r="12" spans="1:6" x14ac:dyDescent="0.3">
      <c r="A12" t="s">
        <v>53</v>
      </c>
      <c r="B12">
        <v>0</v>
      </c>
      <c r="C12" s="43">
        <v>0</v>
      </c>
      <c r="F12">
        <f>SUM(B12:D12)</f>
        <v>0</v>
      </c>
    </row>
    <row r="13" spans="1:6" x14ac:dyDescent="0.3">
      <c r="A13" t="s">
        <v>54</v>
      </c>
      <c r="B13">
        <v>277</v>
      </c>
      <c r="C13" s="43">
        <v>2395</v>
      </c>
      <c r="F13">
        <f>SUM(B13:D13)</f>
        <v>2672</v>
      </c>
    </row>
    <row r="14" spans="1:6" ht="15.6" x14ac:dyDescent="0.3">
      <c r="A14" s="25" t="s">
        <v>55</v>
      </c>
      <c r="B14" s="25">
        <f>SUM(B11:B13)</f>
        <v>1649</v>
      </c>
      <c r="C14" s="25">
        <f>SUM(C11:C13)</f>
        <v>4871</v>
      </c>
      <c r="D14" s="25"/>
      <c r="E14" s="25"/>
      <c r="F14" s="25">
        <f>SUM(F11:F13)</f>
        <v>6520</v>
      </c>
    </row>
    <row r="16" spans="1:6" x14ac:dyDescent="0.3">
      <c r="A16" s="29" t="s">
        <v>73</v>
      </c>
      <c r="B16" s="29"/>
      <c r="C16" s="29"/>
      <c r="D16" s="29"/>
      <c r="E16" s="29"/>
      <c r="F16" s="29"/>
    </row>
    <row r="17" spans="1:6" x14ac:dyDescent="0.3">
      <c r="A17" t="s">
        <v>39</v>
      </c>
      <c r="B17" t="s">
        <v>41</v>
      </c>
      <c r="C17" t="s">
        <v>42</v>
      </c>
      <c r="D17" t="s">
        <v>43</v>
      </c>
      <c r="E17" t="s">
        <v>58</v>
      </c>
      <c r="F17" t="s">
        <v>34</v>
      </c>
    </row>
    <row r="18" spans="1:6" x14ac:dyDescent="0.3">
      <c r="A18" t="s">
        <v>35</v>
      </c>
      <c r="B18" s="43">
        <v>721</v>
      </c>
      <c r="C18" s="43">
        <v>177</v>
      </c>
      <c r="D18" s="43">
        <v>3</v>
      </c>
      <c r="E18" s="43">
        <v>1</v>
      </c>
      <c r="F18">
        <f>SUM(B18:E18)</f>
        <v>902</v>
      </c>
    </row>
    <row r="19" spans="1:6" x14ac:dyDescent="0.3">
      <c r="A19" t="s">
        <v>36</v>
      </c>
      <c r="B19" s="43"/>
      <c r="C19" s="43"/>
      <c r="D19" s="43">
        <v>296</v>
      </c>
      <c r="E19" s="43"/>
      <c r="F19">
        <f>SUM(B19:E19)</f>
        <v>296</v>
      </c>
    </row>
    <row r="20" spans="1:6" x14ac:dyDescent="0.3">
      <c r="A20" t="s">
        <v>37</v>
      </c>
      <c r="B20" s="43">
        <v>653</v>
      </c>
      <c r="C20" s="43">
        <v>116</v>
      </c>
      <c r="D20" s="43">
        <v>31</v>
      </c>
      <c r="E20" s="43">
        <v>7</v>
      </c>
      <c r="F20">
        <f>SUM(B20:E20)</f>
        <v>807</v>
      </c>
    </row>
    <row r="21" spans="1:6" ht="15.6" x14ac:dyDescent="0.3">
      <c r="A21" t="s">
        <v>34</v>
      </c>
      <c r="B21" s="25">
        <f>SUM(B18:B20)</f>
        <v>1374</v>
      </c>
      <c r="C21" s="25">
        <f>SUM(C18:C20)</f>
        <v>293</v>
      </c>
      <c r="D21" s="25">
        <f>SUM(D18:D20)</f>
        <v>330</v>
      </c>
      <c r="E21" s="25">
        <f>SUM(E18:E20)</f>
        <v>8</v>
      </c>
      <c r="F21" s="25">
        <f>SUM(F18:F20)</f>
        <v>2005</v>
      </c>
    </row>
    <row r="23" spans="1:6" x14ac:dyDescent="0.3">
      <c r="A23" s="24" t="s">
        <v>74</v>
      </c>
      <c r="B23" s="24"/>
      <c r="C23" s="24"/>
      <c r="D23" s="24"/>
      <c r="E23" s="24"/>
    </row>
    <row r="24" spans="1:6" x14ac:dyDescent="0.3">
      <c r="B24" t="s">
        <v>32</v>
      </c>
      <c r="C24" t="s">
        <v>33</v>
      </c>
      <c r="F24" t="s">
        <v>55</v>
      </c>
    </row>
    <row r="25" spans="1:6" x14ac:dyDescent="0.3">
      <c r="A25" t="s">
        <v>35</v>
      </c>
      <c r="B25">
        <v>3905</v>
      </c>
      <c r="C25">
        <v>47634</v>
      </c>
      <c r="F25">
        <f>SUM(B25:E25)</f>
        <v>51539</v>
      </c>
    </row>
    <row r="26" spans="1:6" x14ac:dyDescent="0.3">
      <c r="A26" t="s">
        <v>36</v>
      </c>
      <c r="C26">
        <v>4505</v>
      </c>
      <c r="F26">
        <f>SUM(B26:E26)</f>
        <v>4505</v>
      </c>
    </row>
    <row r="27" spans="1:6" x14ac:dyDescent="0.3">
      <c r="A27" t="s">
        <v>37</v>
      </c>
      <c r="B27">
        <v>1347</v>
      </c>
      <c r="C27">
        <v>29765</v>
      </c>
      <c r="F27">
        <f>SUM(B27:E27)</f>
        <v>31112</v>
      </c>
    </row>
    <row r="28" spans="1:6" ht="15.6" x14ac:dyDescent="0.3">
      <c r="A28" s="25" t="s">
        <v>63</v>
      </c>
      <c r="B28" s="25">
        <f>SUM(B25:B27)</f>
        <v>5252</v>
      </c>
      <c r="C28" s="25">
        <f>SUM(C25:C27)</f>
        <v>81904</v>
      </c>
      <c r="D28" s="25"/>
      <c r="E28" s="25"/>
      <c r="F28" s="25">
        <f>SUM(F25:F27)</f>
        <v>87156</v>
      </c>
    </row>
    <row r="30" spans="1:6" ht="15.6" x14ac:dyDescent="0.3">
      <c r="A30" s="26" t="s">
        <v>71</v>
      </c>
      <c r="B30" s="24"/>
      <c r="C30" s="24"/>
      <c r="D30" s="24"/>
      <c r="E30" s="24"/>
    </row>
    <row r="31" spans="1:6" x14ac:dyDescent="0.3">
      <c r="A31" t="s">
        <v>35</v>
      </c>
      <c r="E31">
        <f>F25-F4</f>
        <v>2946</v>
      </c>
    </row>
    <row r="32" spans="1:6" x14ac:dyDescent="0.3">
      <c r="A32" t="s">
        <v>36</v>
      </c>
      <c r="E32">
        <f>F26-F5</f>
        <v>-296</v>
      </c>
    </row>
    <row r="33" spans="1:5" x14ac:dyDescent="0.3">
      <c r="A33" t="s">
        <v>37</v>
      </c>
      <c r="E33">
        <f>F27-F6</f>
        <v>1865</v>
      </c>
    </row>
    <row r="34" spans="1:5" ht="15.6" x14ac:dyDescent="0.3">
      <c r="A34" s="25" t="s">
        <v>34</v>
      </c>
      <c r="B34" s="25"/>
      <c r="C34" s="25"/>
      <c r="D34" s="25"/>
      <c r="E34" s="25">
        <f>SUM(E31:E33)</f>
        <v>4515</v>
      </c>
    </row>
    <row r="36" spans="1:5" x14ac:dyDescent="0.3">
      <c r="A36" t="s">
        <v>46</v>
      </c>
    </row>
    <row r="37" spans="1:5" x14ac:dyDescent="0.3">
      <c r="A37" t="s">
        <v>47</v>
      </c>
    </row>
    <row r="38" spans="1:5" x14ac:dyDescent="0.3">
      <c r="A38" t="s">
        <v>48</v>
      </c>
    </row>
    <row r="39" spans="1:5" x14ac:dyDescent="0.3">
      <c r="A39" t="s">
        <v>49</v>
      </c>
    </row>
    <row r="40" spans="1:5" x14ac:dyDescent="0.3">
      <c r="A40" t="s">
        <v>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F40"/>
  <sheetViews>
    <sheetView workbookViewId="0"/>
  </sheetViews>
  <sheetFormatPr defaultRowHeight="14.4" x14ac:dyDescent="0.3"/>
  <cols>
    <col min="1" max="1" width="67.88671875" bestFit="1" customWidth="1"/>
    <col min="6" max="6" width="6.6640625" bestFit="1" customWidth="1"/>
  </cols>
  <sheetData>
    <row r="2" spans="1:6" x14ac:dyDescent="0.3">
      <c r="A2" s="24" t="s">
        <v>74</v>
      </c>
      <c r="B2" s="24"/>
      <c r="C2" s="24"/>
      <c r="D2" s="24"/>
      <c r="E2" s="24"/>
    </row>
    <row r="3" spans="1:6" x14ac:dyDescent="0.3">
      <c r="B3" t="s">
        <v>32</v>
      </c>
      <c r="C3" t="s">
        <v>33</v>
      </c>
      <c r="F3" t="s">
        <v>55</v>
      </c>
    </row>
    <row r="4" spans="1:6" x14ac:dyDescent="0.3">
      <c r="A4" t="s">
        <v>35</v>
      </c>
      <c r="B4">
        <v>3905</v>
      </c>
      <c r="C4">
        <v>47634</v>
      </c>
      <c r="F4">
        <v>51539</v>
      </c>
    </row>
    <row r="5" spans="1:6" x14ac:dyDescent="0.3">
      <c r="A5" t="s">
        <v>36</v>
      </c>
      <c r="C5">
        <v>4505</v>
      </c>
      <c r="F5">
        <v>4505</v>
      </c>
    </row>
    <row r="6" spans="1:6" x14ac:dyDescent="0.3">
      <c r="A6" t="s">
        <v>37</v>
      </c>
      <c r="B6">
        <v>1347</v>
      </c>
      <c r="C6">
        <v>29765</v>
      </c>
      <c r="F6">
        <v>31112</v>
      </c>
    </row>
    <row r="7" spans="1:6" ht="15.6" x14ac:dyDescent="0.3">
      <c r="A7" s="25" t="s">
        <v>63</v>
      </c>
      <c r="B7" s="25">
        <v>5252</v>
      </c>
      <c r="C7" s="25">
        <v>81904</v>
      </c>
      <c r="D7" s="25"/>
      <c r="E7" s="25"/>
      <c r="F7" s="25">
        <v>87156</v>
      </c>
    </row>
    <row r="9" spans="1:6" x14ac:dyDescent="0.3">
      <c r="A9" s="24" t="s">
        <v>75</v>
      </c>
      <c r="B9" s="24"/>
      <c r="C9" s="24"/>
      <c r="D9" s="24"/>
      <c r="E9" s="24"/>
      <c r="F9" s="24"/>
    </row>
    <row r="10" spans="1:6" x14ac:dyDescent="0.3">
      <c r="B10" t="s">
        <v>57</v>
      </c>
      <c r="C10" t="s">
        <v>33</v>
      </c>
      <c r="F10" t="s">
        <v>56</v>
      </c>
    </row>
    <row r="11" spans="1:6" x14ac:dyDescent="0.3">
      <c r="A11" t="s">
        <v>35</v>
      </c>
      <c r="B11">
        <v>0</v>
      </c>
      <c r="C11" s="43">
        <v>1393</v>
      </c>
      <c r="F11">
        <f>SUM(B11:D11)</f>
        <v>1393</v>
      </c>
    </row>
    <row r="12" spans="1:6" x14ac:dyDescent="0.3">
      <c r="A12" t="s">
        <v>53</v>
      </c>
      <c r="B12">
        <v>0</v>
      </c>
      <c r="C12" s="43">
        <v>0</v>
      </c>
      <c r="F12">
        <f>SUM(B12:D12)</f>
        <v>0</v>
      </c>
    </row>
    <row r="13" spans="1:6" x14ac:dyDescent="0.3">
      <c r="A13" t="s">
        <v>54</v>
      </c>
      <c r="B13">
        <v>0</v>
      </c>
      <c r="C13" s="43">
        <v>618</v>
      </c>
      <c r="F13">
        <f>SUM(B13:D13)</f>
        <v>618</v>
      </c>
    </row>
    <row r="14" spans="1:6" ht="15.6" x14ac:dyDescent="0.3">
      <c r="A14" s="25" t="s">
        <v>55</v>
      </c>
      <c r="B14" s="25">
        <f>SUM(B11:B13)</f>
        <v>0</v>
      </c>
      <c r="C14" s="25">
        <f>SUM(C11:C13)</f>
        <v>2011</v>
      </c>
      <c r="D14" s="25"/>
      <c r="E14" s="25"/>
      <c r="F14" s="25">
        <f>SUM(F11:F13)</f>
        <v>2011</v>
      </c>
    </row>
    <row r="16" spans="1:6" x14ac:dyDescent="0.3">
      <c r="A16" s="29" t="s">
        <v>76</v>
      </c>
      <c r="B16" s="29"/>
      <c r="C16" s="29"/>
      <c r="D16" s="29"/>
      <c r="E16" s="29"/>
      <c r="F16" s="29"/>
    </row>
    <row r="17" spans="1:6" x14ac:dyDescent="0.3">
      <c r="A17" t="s">
        <v>39</v>
      </c>
      <c r="B17" t="s">
        <v>41</v>
      </c>
      <c r="C17" t="s">
        <v>42</v>
      </c>
      <c r="D17" t="s">
        <v>43</v>
      </c>
      <c r="E17" t="s">
        <v>58</v>
      </c>
      <c r="F17" t="s">
        <v>34</v>
      </c>
    </row>
    <row r="18" spans="1:6" x14ac:dyDescent="0.3">
      <c r="A18" t="s">
        <v>35</v>
      </c>
      <c r="B18" s="43">
        <v>1380</v>
      </c>
      <c r="C18" s="43">
        <v>0</v>
      </c>
      <c r="D18" s="43">
        <v>157</v>
      </c>
      <c r="E18" s="43">
        <v>1</v>
      </c>
      <c r="F18">
        <f>SUM(B18:E18)</f>
        <v>1538</v>
      </c>
    </row>
    <row r="19" spans="1:6" x14ac:dyDescent="0.3">
      <c r="A19" t="s">
        <v>36</v>
      </c>
      <c r="B19" s="43"/>
      <c r="C19" s="43">
        <v>385</v>
      </c>
      <c r="D19" s="43"/>
      <c r="E19" s="43"/>
      <c r="F19">
        <f>SUM(B19:E19)</f>
        <v>385</v>
      </c>
    </row>
    <row r="20" spans="1:6" x14ac:dyDescent="0.3">
      <c r="A20" t="s">
        <v>37</v>
      </c>
      <c r="B20" s="43">
        <v>392</v>
      </c>
      <c r="C20" s="43">
        <v>1</v>
      </c>
      <c r="D20" s="43">
        <v>97</v>
      </c>
      <c r="E20" s="43">
        <v>4</v>
      </c>
      <c r="F20">
        <f>SUM(B20:E20)</f>
        <v>494</v>
      </c>
    </row>
    <row r="21" spans="1:6" ht="15.6" x14ac:dyDescent="0.3">
      <c r="A21" t="s">
        <v>34</v>
      </c>
      <c r="B21" s="25">
        <f>SUM(B18:B20)</f>
        <v>1772</v>
      </c>
      <c r="C21" s="25">
        <f>SUM(C18:C20)</f>
        <v>386</v>
      </c>
      <c r="D21" s="25">
        <f>SUM(D18:D20)</f>
        <v>254</v>
      </c>
      <c r="E21" s="25">
        <f>SUM(E18:E20)</f>
        <v>5</v>
      </c>
      <c r="F21" s="25">
        <f>SUM(F18:F20)</f>
        <v>2417</v>
      </c>
    </row>
    <row r="23" spans="1:6" x14ac:dyDescent="0.3">
      <c r="A23" s="24" t="s">
        <v>77</v>
      </c>
      <c r="B23" s="24"/>
      <c r="C23" s="24"/>
      <c r="D23" s="24"/>
      <c r="E23" s="24"/>
    </row>
    <row r="24" spans="1:6" x14ac:dyDescent="0.3">
      <c r="B24" t="s">
        <v>32</v>
      </c>
      <c r="C24" t="s">
        <v>33</v>
      </c>
      <c r="F24" t="s">
        <v>55</v>
      </c>
    </row>
    <row r="25" spans="1:6" x14ac:dyDescent="0.3">
      <c r="A25" t="s">
        <v>35</v>
      </c>
      <c r="B25">
        <v>7967</v>
      </c>
      <c r="C25">
        <v>43427</v>
      </c>
      <c r="F25">
        <f>SUM(B25:E25)</f>
        <v>51394</v>
      </c>
    </row>
    <row r="26" spans="1:6" x14ac:dyDescent="0.3">
      <c r="A26" t="s">
        <v>36</v>
      </c>
      <c r="C26">
        <v>4120</v>
      </c>
      <c r="F26">
        <f>SUM(B26:E26)</f>
        <v>4120</v>
      </c>
    </row>
    <row r="27" spans="1:6" x14ac:dyDescent="0.3">
      <c r="A27" t="s">
        <v>37</v>
      </c>
      <c r="B27">
        <v>1506</v>
      </c>
      <c r="C27">
        <v>29730</v>
      </c>
      <c r="F27">
        <f>SUM(B27:E27)</f>
        <v>31236</v>
      </c>
    </row>
    <row r="28" spans="1:6" ht="15.6" x14ac:dyDescent="0.3">
      <c r="A28" s="25" t="s">
        <v>63</v>
      </c>
      <c r="B28" s="25">
        <f>SUM(B25:B27)</f>
        <v>9473</v>
      </c>
      <c r="C28" s="25">
        <f>SUM(C25:C27)</f>
        <v>77277</v>
      </c>
      <c r="D28" s="25"/>
      <c r="E28" s="25"/>
      <c r="F28" s="25">
        <f>SUM(F25:F27)</f>
        <v>86750</v>
      </c>
    </row>
    <row r="30" spans="1:6" ht="15.6" x14ac:dyDescent="0.3">
      <c r="A30" s="26" t="s">
        <v>78</v>
      </c>
      <c r="B30" s="24"/>
      <c r="C30" s="24"/>
      <c r="D30" s="24"/>
      <c r="E30" s="24"/>
    </row>
    <row r="31" spans="1:6" x14ac:dyDescent="0.3">
      <c r="A31" t="s">
        <v>35</v>
      </c>
      <c r="E31">
        <f>F25-F4</f>
        <v>-145</v>
      </c>
    </row>
    <row r="32" spans="1:6" x14ac:dyDescent="0.3">
      <c r="A32" t="s">
        <v>36</v>
      </c>
      <c r="E32">
        <f>F26-F5</f>
        <v>-385</v>
      </c>
    </row>
    <row r="33" spans="1:5" x14ac:dyDescent="0.3">
      <c r="A33" t="s">
        <v>37</v>
      </c>
      <c r="E33">
        <f>F27-F6</f>
        <v>124</v>
      </c>
    </row>
    <row r="34" spans="1:5" ht="15.6" x14ac:dyDescent="0.3">
      <c r="A34" s="25" t="s">
        <v>34</v>
      </c>
      <c r="B34" s="25"/>
      <c r="C34" s="25"/>
      <c r="D34" s="25"/>
      <c r="E34" s="25">
        <f>SUM(E31:E33)</f>
        <v>-406</v>
      </c>
    </row>
    <row r="36" spans="1:5" x14ac:dyDescent="0.3">
      <c r="A36" t="s">
        <v>46</v>
      </c>
    </row>
    <row r="37" spans="1:5" x14ac:dyDescent="0.3">
      <c r="A37" t="s">
        <v>47</v>
      </c>
    </row>
    <row r="38" spans="1:5" x14ac:dyDescent="0.3">
      <c r="A38" t="s">
        <v>48</v>
      </c>
    </row>
    <row r="39" spans="1:5" x14ac:dyDescent="0.3">
      <c r="A39" t="s">
        <v>49</v>
      </c>
    </row>
    <row r="40" spans="1:5" x14ac:dyDescent="0.3">
      <c r="A40" t="s">
        <v>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2:F40"/>
  <sheetViews>
    <sheetView topLeftCell="A13" workbookViewId="0"/>
  </sheetViews>
  <sheetFormatPr defaultRowHeight="14.4" x14ac:dyDescent="0.3"/>
  <cols>
    <col min="1" max="1" width="66.6640625" bestFit="1" customWidth="1"/>
    <col min="6" max="6" width="6.6640625" bestFit="1" customWidth="1"/>
    <col min="10" max="10" width="24.109375" bestFit="1" customWidth="1"/>
    <col min="11" max="11" width="24.44140625" bestFit="1" customWidth="1"/>
  </cols>
  <sheetData>
    <row r="2" spans="1:6" x14ac:dyDescent="0.3">
      <c r="A2" s="24" t="s">
        <v>77</v>
      </c>
      <c r="B2" s="24"/>
      <c r="C2" s="24"/>
      <c r="D2" s="24"/>
      <c r="E2" s="24"/>
    </row>
    <row r="3" spans="1:6" x14ac:dyDescent="0.3">
      <c r="B3" t="s">
        <v>32</v>
      </c>
      <c r="C3" t="s">
        <v>33</v>
      </c>
      <c r="F3" t="s">
        <v>55</v>
      </c>
    </row>
    <row r="4" spans="1:6" x14ac:dyDescent="0.3">
      <c r="A4" t="s">
        <v>35</v>
      </c>
      <c r="B4">
        <v>7967</v>
      </c>
      <c r="C4">
        <v>43427</v>
      </c>
      <c r="F4">
        <f>SUM(B4:E4)</f>
        <v>51394</v>
      </c>
    </row>
    <row r="5" spans="1:6" x14ac:dyDescent="0.3">
      <c r="A5" t="s">
        <v>36</v>
      </c>
      <c r="C5">
        <v>4120</v>
      </c>
      <c r="F5">
        <f>SUM(B5:E5)</f>
        <v>4120</v>
      </c>
    </row>
    <row r="6" spans="1:6" x14ac:dyDescent="0.3">
      <c r="A6" t="s">
        <v>37</v>
      </c>
      <c r="B6">
        <v>1506</v>
      </c>
      <c r="C6">
        <v>29730</v>
      </c>
      <c r="F6">
        <f>SUM(B6:E6)</f>
        <v>31236</v>
      </c>
    </row>
    <row r="7" spans="1:6" ht="15.6" x14ac:dyDescent="0.3">
      <c r="A7" s="25" t="s">
        <v>63</v>
      </c>
      <c r="B7" s="25">
        <f>SUM(B4:B6)</f>
        <v>9473</v>
      </c>
      <c r="C7" s="25">
        <f>SUM(C4:C6)</f>
        <v>77277</v>
      </c>
      <c r="D7" s="25"/>
      <c r="E7" s="25"/>
      <c r="F7" s="25">
        <f>SUM(F4:F6)</f>
        <v>86750</v>
      </c>
    </row>
    <row r="9" spans="1:6" x14ac:dyDescent="0.3">
      <c r="A9" s="24" t="s">
        <v>82</v>
      </c>
      <c r="B9" s="24"/>
      <c r="C9" s="24"/>
      <c r="D9" s="24"/>
      <c r="E9" s="24"/>
      <c r="F9" s="24"/>
    </row>
    <row r="10" spans="1:6" x14ac:dyDescent="0.3">
      <c r="B10" t="s">
        <v>57</v>
      </c>
      <c r="C10" t="s">
        <v>33</v>
      </c>
      <c r="F10" t="s">
        <v>56</v>
      </c>
    </row>
    <row r="11" spans="1:6" x14ac:dyDescent="0.3">
      <c r="A11" t="s">
        <v>35</v>
      </c>
      <c r="B11">
        <v>1207</v>
      </c>
      <c r="C11" s="43">
        <v>5821</v>
      </c>
      <c r="F11">
        <f>SUM(B11:D11)</f>
        <v>7028</v>
      </c>
    </row>
    <row r="12" spans="1:6" x14ac:dyDescent="0.3">
      <c r="A12" t="s">
        <v>53</v>
      </c>
      <c r="B12">
        <v>165</v>
      </c>
      <c r="C12" s="43">
        <v>1005</v>
      </c>
      <c r="F12">
        <f>SUM(B12:D12)</f>
        <v>1170</v>
      </c>
    </row>
    <row r="13" spans="1:6" x14ac:dyDescent="0.3">
      <c r="A13" t="s">
        <v>54</v>
      </c>
      <c r="B13">
        <v>0</v>
      </c>
      <c r="C13" s="43">
        <v>0</v>
      </c>
      <c r="F13">
        <f>SUM(B13:D13)</f>
        <v>0</v>
      </c>
    </row>
    <row r="14" spans="1:6" ht="15.6" x14ac:dyDescent="0.3">
      <c r="A14" s="25" t="s">
        <v>55</v>
      </c>
      <c r="B14" s="25">
        <f>SUM(B11:B13)</f>
        <v>1372</v>
      </c>
      <c r="C14" s="25">
        <f>SUM(C11:C13)</f>
        <v>6826</v>
      </c>
      <c r="D14" s="25"/>
      <c r="E14" s="25"/>
      <c r="F14" s="25">
        <f>SUM(F11:F13)</f>
        <v>8198</v>
      </c>
    </row>
    <row r="16" spans="1:6" x14ac:dyDescent="0.3">
      <c r="A16" s="29" t="s">
        <v>79</v>
      </c>
      <c r="B16" s="29"/>
      <c r="C16" s="29"/>
      <c r="D16" s="29"/>
      <c r="E16" s="29"/>
      <c r="F16" s="29"/>
    </row>
    <row r="17" spans="1:6" x14ac:dyDescent="0.3">
      <c r="A17" t="s">
        <v>39</v>
      </c>
      <c r="B17" t="s">
        <v>41</v>
      </c>
      <c r="C17" t="s">
        <v>42</v>
      </c>
      <c r="D17" t="s">
        <v>43</v>
      </c>
      <c r="E17" t="s">
        <v>58</v>
      </c>
      <c r="F17" t="s">
        <v>34</v>
      </c>
    </row>
    <row r="18" spans="1:6" x14ac:dyDescent="0.3">
      <c r="A18" t="s">
        <v>35</v>
      </c>
      <c r="B18" s="43">
        <v>2256</v>
      </c>
      <c r="C18" s="43">
        <v>1</v>
      </c>
      <c r="D18" s="43">
        <v>146</v>
      </c>
      <c r="E18" s="43">
        <v>1</v>
      </c>
      <c r="F18">
        <f>SUM(B18:E18)</f>
        <v>2404</v>
      </c>
    </row>
    <row r="19" spans="1:6" x14ac:dyDescent="0.3">
      <c r="A19" t="s">
        <v>36</v>
      </c>
      <c r="B19" s="43"/>
      <c r="C19" s="43">
        <v>455</v>
      </c>
      <c r="D19" s="43"/>
      <c r="E19" s="43"/>
      <c r="F19">
        <f>SUM(B19:E19)</f>
        <v>455</v>
      </c>
    </row>
    <row r="20" spans="1:6" x14ac:dyDescent="0.3">
      <c r="A20" t="s">
        <v>37</v>
      </c>
      <c r="B20" s="43">
        <v>333</v>
      </c>
      <c r="C20" s="43">
        <v>0</v>
      </c>
      <c r="D20" s="43">
        <v>67</v>
      </c>
      <c r="E20" s="43">
        <v>3</v>
      </c>
      <c r="F20">
        <f>SUM(B20:E20)</f>
        <v>403</v>
      </c>
    </row>
    <row r="21" spans="1:6" ht="15.6" x14ac:dyDescent="0.3">
      <c r="A21" t="s">
        <v>34</v>
      </c>
      <c r="B21" s="25">
        <f>SUM(B18:B20)</f>
        <v>2589</v>
      </c>
      <c r="C21" s="25">
        <f>SUM(C18:C20)</f>
        <v>456</v>
      </c>
      <c r="D21" s="25">
        <f>SUM(D18:D20)</f>
        <v>213</v>
      </c>
      <c r="E21" s="25">
        <f>SUM(E18:E20)</f>
        <v>4</v>
      </c>
      <c r="F21" s="25">
        <f>SUM(F18:F20)</f>
        <v>3262</v>
      </c>
    </row>
    <row r="23" spans="1:6" x14ac:dyDescent="0.3">
      <c r="A23" s="24" t="s">
        <v>80</v>
      </c>
      <c r="B23" s="24"/>
      <c r="C23" s="24"/>
      <c r="D23" s="24"/>
      <c r="E23" s="24"/>
    </row>
    <row r="24" spans="1:6" x14ac:dyDescent="0.3">
      <c r="B24" t="s">
        <v>32</v>
      </c>
      <c r="C24" t="s">
        <v>33</v>
      </c>
      <c r="F24" t="s">
        <v>55</v>
      </c>
    </row>
    <row r="25" spans="1:6" x14ac:dyDescent="0.3">
      <c r="A25" t="s">
        <v>35</v>
      </c>
      <c r="B25">
        <v>8447</v>
      </c>
      <c r="C25" s="43">
        <v>47571</v>
      </c>
      <c r="F25">
        <f>SUM(B25:E25)</f>
        <v>56018</v>
      </c>
    </row>
    <row r="26" spans="1:6" x14ac:dyDescent="0.3">
      <c r="A26" t="s">
        <v>36</v>
      </c>
      <c r="C26">
        <v>3665</v>
      </c>
      <c r="F26">
        <f>SUM(B26:E26)</f>
        <v>3665</v>
      </c>
    </row>
    <row r="27" spans="1:6" x14ac:dyDescent="0.3">
      <c r="A27" t="s">
        <v>37</v>
      </c>
      <c r="B27">
        <v>1923</v>
      </c>
      <c r="C27">
        <v>30080</v>
      </c>
      <c r="F27">
        <f>SUM(B27:E27)</f>
        <v>32003</v>
      </c>
    </row>
    <row r="28" spans="1:6" ht="15.6" x14ac:dyDescent="0.3">
      <c r="A28" s="25" t="s">
        <v>63</v>
      </c>
      <c r="B28" s="25">
        <f>SUM(B25:B27)</f>
        <v>10370</v>
      </c>
      <c r="C28" s="25">
        <f>SUM(C25:C27)</f>
        <v>81316</v>
      </c>
      <c r="D28" s="25"/>
      <c r="E28" s="25"/>
      <c r="F28" s="25">
        <f>SUM(F25:F27)</f>
        <v>91686</v>
      </c>
    </row>
    <row r="30" spans="1:6" ht="15.6" x14ac:dyDescent="0.3">
      <c r="A30" s="26" t="s">
        <v>81</v>
      </c>
      <c r="B30" s="24"/>
      <c r="C30" s="24"/>
      <c r="D30" s="24"/>
      <c r="E30" s="24"/>
    </row>
    <row r="31" spans="1:6" x14ac:dyDescent="0.3">
      <c r="A31" t="s">
        <v>35</v>
      </c>
      <c r="E31">
        <f>F25-F4</f>
        <v>4624</v>
      </c>
    </row>
    <row r="32" spans="1:6" x14ac:dyDescent="0.3">
      <c r="A32" t="s">
        <v>36</v>
      </c>
      <c r="E32">
        <f>F26-F5</f>
        <v>-455</v>
      </c>
    </row>
    <row r="33" spans="1:5" x14ac:dyDescent="0.3">
      <c r="A33" t="s">
        <v>37</v>
      </c>
      <c r="E33">
        <f>F27-F6</f>
        <v>767</v>
      </c>
    </row>
    <row r="34" spans="1:5" ht="15.6" x14ac:dyDescent="0.3">
      <c r="A34" s="25" t="s">
        <v>34</v>
      </c>
      <c r="B34" s="25"/>
      <c r="C34" s="25"/>
      <c r="D34" s="25"/>
      <c r="E34" s="25">
        <f>SUM(E31:E33)</f>
        <v>4936</v>
      </c>
    </row>
    <row r="36" spans="1:5" x14ac:dyDescent="0.3">
      <c r="A36" t="s">
        <v>46</v>
      </c>
    </row>
    <row r="37" spans="1:5" x14ac:dyDescent="0.3">
      <c r="A37" t="s">
        <v>47</v>
      </c>
    </row>
    <row r="38" spans="1:5" x14ac:dyDescent="0.3">
      <c r="A38" t="s">
        <v>48</v>
      </c>
    </row>
    <row r="39" spans="1:5" x14ac:dyDescent="0.3">
      <c r="A39" t="s">
        <v>49</v>
      </c>
    </row>
    <row r="40" spans="1:5" x14ac:dyDescent="0.3">
      <c r="A40" t="s">
        <v>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2:F40"/>
  <sheetViews>
    <sheetView topLeftCell="A12" workbookViewId="0"/>
  </sheetViews>
  <sheetFormatPr defaultRowHeight="14.4" x14ac:dyDescent="0.3"/>
  <cols>
    <col min="1" max="1" width="68.109375" bestFit="1" customWidth="1"/>
    <col min="2" max="3" width="6.6640625" bestFit="1" customWidth="1"/>
    <col min="4" max="4" width="5.88671875" bestFit="1" customWidth="1"/>
    <col min="5" max="5" width="6.33203125" bestFit="1" customWidth="1"/>
  </cols>
  <sheetData>
    <row r="2" spans="1:6" x14ac:dyDescent="0.3">
      <c r="A2" s="24" t="s">
        <v>80</v>
      </c>
      <c r="B2" s="24"/>
      <c r="C2" s="24"/>
      <c r="D2" s="24"/>
      <c r="E2" s="24"/>
    </row>
    <row r="3" spans="1:6" x14ac:dyDescent="0.3">
      <c r="B3" t="s">
        <v>32</v>
      </c>
      <c r="C3" t="s">
        <v>33</v>
      </c>
      <c r="F3" t="s">
        <v>55</v>
      </c>
    </row>
    <row r="4" spans="1:6" x14ac:dyDescent="0.3">
      <c r="A4" t="s">
        <v>35</v>
      </c>
      <c r="B4">
        <v>8447</v>
      </c>
      <c r="C4" s="43">
        <v>47571</v>
      </c>
      <c r="F4">
        <f>SUM(B4:E4)</f>
        <v>56018</v>
      </c>
    </row>
    <row r="5" spans="1:6" x14ac:dyDescent="0.3">
      <c r="A5" t="s">
        <v>36</v>
      </c>
      <c r="C5">
        <v>3665</v>
      </c>
      <c r="F5">
        <f>SUM(B5:E5)</f>
        <v>3665</v>
      </c>
    </row>
    <row r="6" spans="1:6" x14ac:dyDescent="0.3">
      <c r="A6" t="s">
        <v>37</v>
      </c>
      <c r="B6">
        <v>1923</v>
      </c>
      <c r="C6">
        <v>30080</v>
      </c>
      <c r="F6">
        <f>SUM(B6:E6)</f>
        <v>32003</v>
      </c>
    </row>
    <row r="7" spans="1:6" ht="15.6" x14ac:dyDescent="0.3">
      <c r="A7" s="25" t="s">
        <v>63</v>
      </c>
      <c r="B7" s="25">
        <f>SUM(B4:B6)</f>
        <v>10370</v>
      </c>
      <c r="C7" s="25">
        <f>SUM(C4:C6)</f>
        <v>81316</v>
      </c>
      <c r="D7" s="25"/>
      <c r="E7" s="25"/>
      <c r="F7" s="25">
        <f>SUM(F4:F6)</f>
        <v>91686</v>
      </c>
    </row>
    <row r="9" spans="1:6" x14ac:dyDescent="0.3">
      <c r="A9" s="24" t="s">
        <v>84</v>
      </c>
      <c r="B9" s="24"/>
      <c r="C9" s="24"/>
      <c r="D9" s="24"/>
      <c r="E9" s="24"/>
      <c r="F9" s="24"/>
    </row>
    <row r="10" spans="1:6" x14ac:dyDescent="0.3">
      <c r="B10" t="s">
        <v>57</v>
      </c>
      <c r="C10" t="s">
        <v>33</v>
      </c>
      <c r="F10" t="s">
        <v>56</v>
      </c>
    </row>
    <row r="11" spans="1:6" x14ac:dyDescent="0.3">
      <c r="A11" t="s">
        <v>35</v>
      </c>
      <c r="C11" s="43">
        <v>3785</v>
      </c>
      <c r="F11">
        <f>SUM(B11:D11)</f>
        <v>3785</v>
      </c>
    </row>
    <row r="12" spans="1:6" x14ac:dyDescent="0.3">
      <c r="A12" t="s">
        <v>53</v>
      </c>
      <c r="B12">
        <v>0</v>
      </c>
      <c r="C12" s="43">
        <v>0</v>
      </c>
      <c r="F12">
        <f>SUM(B12:D12)</f>
        <v>0</v>
      </c>
    </row>
    <row r="13" spans="1:6" x14ac:dyDescent="0.3">
      <c r="A13" t="s">
        <v>54</v>
      </c>
      <c r="B13">
        <v>0</v>
      </c>
      <c r="C13" s="43">
        <v>928</v>
      </c>
      <c r="F13">
        <f>SUM(B13:D13)</f>
        <v>928</v>
      </c>
    </row>
    <row r="14" spans="1:6" ht="15.6" x14ac:dyDescent="0.3">
      <c r="A14" s="25" t="s">
        <v>55</v>
      </c>
      <c r="B14" s="25">
        <f>SUM(B11:B13)</f>
        <v>0</v>
      </c>
      <c r="C14" s="25">
        <f>SUM(C11:C13)</f>
        <v>4713</v>
      </c>
      <c r="D14" s="25"/>
      <c r="E14" s="25"/>
      <c r="F14" s="25">
        <f>SUM(F11:F13)</f>
        <v>4713</v>
      </c>
    </row>
    <row r="16" spans="1:6" x14ac:dyDescent="0.3">
      <c r="A16" s="29" t="s">
        <v>85</v>
      </c>
      <c r="B16" s="29"/>
      <c r="C16" s="29"/>
      <c r="D16" s="29"/>
      <c r="E16" s="29"/>
      <c r="F16" s="29"/>
    </row>
    <row r="17" spans="1:6" x14ac:dyDescent="0.3">
      <c r="A17" t="s">
        <v>39</v>
      </c>
      <c r="B17" t="s">
        <v>41</v>
      </c>
      <c r="C17" t="s">
        <v>42</v>
      </c>
      <c r="D17" t="s">
        <v>43</v>
      </c>
      <c r="E17" t="s">
        <v>58</v>
      </c>
      <c r="F17" t="s">
        <v>34</v>
      </c>
    </row>
    <row r="18" spans="1:6" x14ac:dyDescent="0.3">
      <c r="A18" t="s">
        <v>35</v>
      </c>
      <c r="B18" s="43">
        <v>5130</v>
      </c>
      <c r="C18" s="43">
        <v>270</v>
      </c>
      <c r="D18" s="43">
        <v>138</v>
      </c>
      <c r="E18" s="43">
        <v>365</v>
      </c>
      <c r="F18">
        <f>SUM(B18:E18)</f>
        <v>5903</v>
      </c>
    </row>
    <row r="19" spans="1:6" x14ac:dyDescent="0.3">
      <c r="A19" t="s">
        <v>36</v>
      </c>
      <c r="B19" s="43"/>
      <c r="C19" s="43">
        <v>139</v>
      </c>
      <c r="D19" s="43"/>
      <c r="E19" s="43"/>
      <c r="F19">
        <f>SUM(B19:E19)</f>
        <v>139</v>
      </c>
    </row>
    <row r="20" spans="1:6" x14ac:dyDescent="0.3">
      <c r="A20" t="s">
        <v>37</v>
      </c>
      <c r="B20" s="43">
        <v>878</v>
      </c>
      <c r="C20" s="43">
        <v>320</v>
      </c>
      <c r="D20" s="43">
        <v>67</v>
      </c>
      <c r="E20" s="43">
        <v>211</v>
      </c>
      <c r="F20">
        <f>SUM(B20:E20)</f>
        <v>1476</v>
      </c>
    </row>
    <row r="21" spans="1:6" ht="15.6" x14ac:dyDescent="0.3">
      <c r="A21" t="s">
        <v>34</v>
      </c>
      <c r="B21" s="25">
        <f>SUM(B18:B20)</f>
        <v>6008</v>
      </c>
      <c r="C21" s="25">
        <f>SUM(C18:C20)</f>
        <v>729</v>
      </c>
      <c r="D21" s="25">
        <f>SUM(D18:D20)</f>
        <v>205</v>
      </c>
      <c r="E21" s="25">
        <f>SUM(E18:E20)</f>
        <v>576</v>
      </c>
      <c r="F21" s="25">
        <f>SUM(F18:F20)</f>
        <v>7518</v>
      </c>
    </row>
    <row r="23" spans="1:6" x14ac:dyDescent="0.3">
      <c r="A23" s="24" t="s">
        <v>86</v>
      </c>
      <c r="B23" s="24"/>
      <c r="C23" s="24"/>
      <c r="D23" s="24"/>
      <c r="E23" s="24"/>
    </row>
    <row r="24" spans="1:6" x14ac:dyDescent="0.3">
      <c r="B24" t="s">
        <v>32</v>
      </c>
      <c r="C24" t="s">
        <v>33</v>
      </c>
      <c r="D24" t="s">
        <v>87</v>
      </c>
      <c r="F24" t="s">
        <v>55</v>
      </c>
    </row>
    <row r="25" spans="1:6" x14ac:dyDescent="0.3">
      <c r="A25" t="s">
        <v>35</v>
      </c>
      <c r="B25">
        <v>4817</v>
      </c>
      <c r="C25" s="43">
        <v>48724</v>
      </c>
      <c r="D25">
        <v>359</v>
      </c>
      <c r="F25">
        <f>SUM(B25:E25)</f>
        <v>53900</v>
      </c>
    </row>
    <row r="26" spans="1:6" x14ac:dyDescent="0.3">
      <c r="A26" t="s">
        <v>36</v>
      </c>
      <c r="C26">
        <v>3526</v>
      </c>
      <c r="F26">
        <f>SUM(B26:E26)</f>
        <v>3526</v>
      </c>
    </row>
    <row r="27" spans="1:6" x14ac:dyDescent="0.3">
      <c r="A27" t="s">
        <v>37</v>
      </c>
      <c r="B27">
        <v>868</v>
      </c>
      <c r="C27">
        <v>30587</v>
      </c>
      <c r="F27">
        <f>SUM(B27:E27)</f>
        <v>31455</v>
      </c>
    </row>
    <row r="28" spans="1:6" ht="15.6" x14ac:dyDescent="0.3">
      <c r="A28" s="25" t="s">
        <v>63</v>
      </c>
      <c r="B28" s="25">
        <f>SUM(B25:B27)</f>
        <v>5685</v>
      </c>
      <c r="C28" s="25">
        <f>SUM(C25:C27)</f>
        <v>82837</v>
      </c>
      <c r="D28" s="25"/>
      <c r="E28" s="25"/>
      <c r="F28" s="25">
        <f>SUM(F25:F27)</f>
        <v>88881</v>
      </c>
    </row>
    <row r="30" spans="1:6" ht="15.6" x14ac:dyDescent="0.3">
      <c r="A30" s="26" t="s">
        <v>92</v>
      </c>
      <c r="B30" s="24"/>
      <c r="C30" s="24"/>
      <c r="D30" s="24"/>
      <c r="E30" s="24"/>
    </row>
    <row r="31" spans="1:6" x14ac:dyDescent="0.3">
      <c r="A31" t="s">
        <v>35</v>
      </c>
      <c r="E31">
        <f>F25-F4</f>
        <v>-2118</v>
      </c>
    </row>
    <row r="32" spans="1:6" x14ac:dyDescent="0.3">
      <c r="A32" t="s">
        <v>36</v>
      </c>
      <c r="E32">
        <f>F26-F5</f>
        <v>-139</v>
      </c>
    </row>
    <row r="33" spans="1:5" x14ac:dyDescent="0.3">
      <c r="A33" t="s">
        <v>37</v>
      </c>
      <c r="E33">
        <f>F27-F6</f>
        <v>-548</v>
      </c>
    </row>
    <row r="34" spans="1:5" ht="15.6" x14ac:dyDescent="0.3">
      <c r="A34" s="25" t="s">
        <v>34</v>
      </c>
      <c r="B34" s="25"/>
      <c r="C34" s="25"/>
      <c r="D34" s="25"/>
      <c r="E34" s="25">
        <f>SUM(E31:E33)</f>
        <v>-2805</v>
      </c>
    </row>
    <row r="36" spans="1:5" x14ac:dyDescent="0.3">
      <c r="A36" t="s">
        <v>46</v>
      </c>
    </row>
    <row r="37" spans="1:5" x14ac:dyDescent="0.3">
      <c r="A37" t="s">
        <v>47</v>
      </c>
    </row>
    <row r="38" spans="1:5" x14ac:dyDescent="0.3">
      <c r="A38" t="s">
        <v>48</v>
      </c>
    </row>
    <row r="39" spans="1:5" x14ac:dyDescent="0.3">
      <c r="A39" t="s">
        <v>49</v>
      </c>
    </row>
    <row r="40" spans="1:5" x14ac:dyDescent="0.3">
      <c r="A40" t="s">
        <v>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3:G41"/>
  <sheetViews>
    <sheetView topLeftCell="A4" workbookViewId="0"/>
  </sheetViews>
  <sheetFormatPr defaultRowHeight="14.4" x14ac:dyDescent="0.3"/>
  <cols>
    <col min="1" max="1" width="56.88671875" customWidth="1"/>
    <col min="2" max="2" width="10.5546875" customWidth="1"/>
  </cols>
  <sheetData>
    <row r="3" spans="1:7" x14ac:dyDescent="0.3">
      <c r="A3" s="24" t="s">
        <v>88</v>
      </c>
      <c r="B3" s="24"/>
      <c r="C3" s="24"/>
      <c r="D3" s="24"/>
      <c r="E3" s="24"/>
      <c r="F3" s="24"/>
    </row>
    <row r="4" spans="1:7" x14ac:dyDescent="0.3">
      <c r="C4" t="s">
        <v>32</v>
      </c>
      <c r="D4" t="s">
        <v>33</v>
      </c>
      <c r="E4" t="s">
        <v>94</v>
      </c>
      <c r="G4" t="s">
        <v>55</v>
      </c>
    </row>
    <row r="5" spans="1:7" x14ac:dyDescent="0.3">
      <c r="A5" t="s">
        <v>35</v>
      </c>
      <c r="C5">
        <v>4817</v>
      </c>
      <c r="D5" s="43">
        <v>48724</v>
      </c>
      <c r="E5">
        <v>359</v>
      </c>
      <c r="G5">
        <f>SUM(C5:F5)</f>
        <v>53900</v>
      </c>
    </row>
    <row r="6" spans="1:7" x14ac:dyDescent="0.3">
      <c r="A6" t="s">
        <v>36</v>
      </c>
      <c r="D6">
        <v>3526</v>
      </c>
      <c r="G6">
        <f>SUM(C6:F6)</f>
        <v>3526</v>
      </c>
    </row>
    <row r="7" spans="1:7" x14ac:dyDescent="0.3">
      <c r="A7" t="s">
        <v>37</v>
      </c>
      <c r="C7">
        <v>868</v>
      </c>
      <c r="D7">
        <v>30587</v>
      </c>
      <c r="G7">
        <f>SUM(C7:F7)</f>
        <v>31455</v>
      </c>
    </row>
    <row r="8" spans="1:7" ht="15.6" x14ac:dyDescent="0.3">
      <c r="A8" s="25" t="s">
        <v>63</v>
      </c>
      <c r="B8" s="25"/>
      <c r="C8" s="25">
        <f>SUM(C5:C7)</f>
        <v>5685</v>
      </c>
      <c r="D8" s="25">
        <f>SUM(D5:D7)</f>
        <v>82837</v>
      </c>
      <c r="E8" s="25"/>
      <c r="F8" s="25"/>
      <c r="G8" s="25">
        <f>SUM(G5:G7)</f>
        <v>88881</v>
      </c>
    </row>
    <row r="10" spans="1:7" x14ac:dyDescent="0.3">
      <c r="A10" s="24" t="s">
        <v>89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>
        <v>47</v>
      </c>
      <c r="D12" s="43">
        <v>483</v>
      </c>
      <c r="G12">
        <f>SUM(C12:E12)</f>
        <v>530</v>
      </c>
    </row>
    <row r="13" spans="1:7" x14ac:dyDescent="0.3">
      <c r="A13" t="s">
        <v>53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54</v>
      </c>
      <c r="C14">
        <v>0</v>
      </c>
      <c r="D14" s="43">
        <v>340</v>
      </c>
      <c r="G14">
        <f>SUM(C14:E14)</f>
        <v>340</v>
      </c>
    </row>
    <row r="15" spans="1:7" ht="15.6" x14ac:dyDescent="0.3">
      <c r="A15" s="25" t="s">
        <v>55</v>
      </c>
      <c r="B15" s="25"/>
      <c r="C15" s="25">
        <f>SUM(C12:C14)</f>
        <v>47</v>
      </c>
      <c r="D15" s="25">
        <f>SUM(D12:D14)</f>
        <v>823</v>
      </c>
      <c r="E15" s="25"/>
      <c r="F15" s="25"/>
      <c r="G15" s="25">
        <f>SUM(G12:G14)</f>
        <v>870</v>
      </c>
    </row>
    <row r="17" spans="1:7" x14ac:dyDescent="0.3">
      <c r="A17" s="29" t="s">
        <v>91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95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C19" s="43">
        <v>1643</v>
      </c>
      <c r="D19" s="43">
        <v>4</v>
      </c>
      <c r="E19" s="43">
        <v>139</v>
      </c>
      <c r="F19" s="43">
        <v>13</v>
      </c>
      <c r="G19">
        <f>SUM(C19:F19)</f>
        <v>1799</v>
      </c>
    </row>
    <row r="20" spans="1:7" x14ac:dyDescent="0.3">
      <c r="A20" t="s">
        <v>36</v>
      </c>
      <c r="C20" s="43"/>
      <c r="D20" s="43">
        <v>349</v>
      </c>
      <c r="E20" s="43"/>
      <c r="F20" s="43"/>
      <c r="G20">
        <f>SUM(C20:F20)</f>
        <v>349</v>
      </c>
    </row>
    <row r="21" spans="1:7" x14ac:dyDescent="0.3">
      <c r="A21" t="s">
        <v>37</v>
      </c>
      <c r="B21">
        <v>6</v>
      </c>
      <c r="C21" s="43">
        <v>514</v>
      </c>
      <c r="D21" s="43">
        <v>4</v>
      </c>
      <c r="E21" s="43">
        <v>142</v>
      </c>
      <c r="F21" s="43">
        <v>5</v>
      </c>
      <c r="G21">
        <f>SUM(B21:F21)</f>
        <v>671</v>
      </c>
    </row>
    <row r="22" spans="1:7" ht="15.6" x14ac:dyDescent="0.3">
      <c r="A22" t="s">
        <v>34</v>
      </c>
      <c r="C22" s="25">
        <f>SUM(C19:C21)</f>
        <v>2157</v>
      </c>
      <c r="D22" s="25">
        <f>SUM(D19:D21)</f>
        <v>357</v>
      </c>
      <c r="E22" s="25">
        <f>SUM(E19:E21)</f>
        <v>281</v>
      </c>
      <c r="F22" s="25">
        <f>SUM(F19:F21)</f>
        <v>18</v>
      </c>
      <c r="G22" s="25">
        <f>SUM(G19:G21)</f>
        <v>2819</v>
      </c>
    </row>
    <row r="24" spans="1:7" x14ac:dyDescent="0.3">
      <c r="A24" s="24" t="s">
        <v>90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6649</v>
      </c>
      <c r="D26" s="43">
        <v>45624</v>
      </c>
      <c r="E26">
        <v>358</v>
      </c>
      <c r="G26">
        <f>SUM(C26:F26)</f>
        <v>52631</v>
      </c>
    </row>
    <row r="27" spans="1:7" x14ac:dyDescent="0.3">
      <c r="A27" t="s">
        <v>36</v>
      </c>
      <c r="D27">
        <v>3177</v>
      </c>
      <c r="G27">
        <f>SUM(C27:F27)</f>
        <v>3177</v>
      </c>
    </row>
    <row r="28" spans="1:7" x14ac:dyDescent="0.3">
      <c r="A28" t="s">
        <v>37</v>
      </c>
      <c r="C28">
        <v>806</v>
      </c>
      <c r="D28">
        <v>30318</v>
      </c>
      <c r="G28">
        <f>SUM(C28:F28)</f>
        <v>31124</v>
      </c>
    </row>
    <row r="29" spans="1:7" ht="15.6" x14ac:dyDescent="0.3">
      <c r="A29" s="25" t="s">
        <v>63</v>
      </c>
      <c r="B29" s="25"/>
      <c r="C29" s="25">
        <f>SUM(C26:C28)</f>
        <v>7455</v>
      </c>
      <c r="D29" s="25">
        <f>SUM(D26:D28)</f>
        <v>79119</v>
      </c>
      <c r="E29" s="25"/>
      <c r="F29" s="25"/>
      <c r="G29" s="25">
        <f>SUM(G26:G28)</f>
        <v>86932</v>
      </c>
    </row>
    <row r="31" spans="1:7" ht="15.6" x14ac:dyDescent="0.3">
      <c r="A31" s="26" t="s">
        <v>93</v>
      </c>
      <c r="B31" s="26"/>
      <c r="C31" s="24"/>
      <c r="D31" s="24"/>
      <c r="E31" s="24"/>
      <c r="F31" s="24"/>
    </row>
    <row r="32" spans="1:7" x14ac:dyDescent="0.3">
      <c r="A32" t="s">
        <v>35</v>
      </c>
      <c r="F32">
        <f>G26-G5</f>
        <v>-1269</v>
      </c>
    </row>
    <row r="33" spans="1:6" x14ac:dyDescent="0.3">
      <c r="A33" t="s">
        <v>36</v>
      </c>
      <c r="F33">
        <f>G27-G6</f>
        <v>-349</v>
      </c>
    </row>
    <row r="34" spans="1:6" x14ac:dyDescent="0.3">
      <c r="A34" t="s">
        <v>37</v>
      </c>
      <c r="F34">
        <f>G28-G7</f>
        <v>-331</v>
      </c>
    </row>
    <row r="35" spans="1:6" ht="15.6" x14ac:dyDescent="0.3">
      <c r="A35" s="25" t="s">
        <v>34</v>
      </c>
      <c r="B35" s="25"/>
      <c r="C35" s="25"/>
      <c r="D35" s="25"/>
      <c r="E35" s="25"/>
      <c r="F35" s="25">
        <f>SUM(F32:F34)</f>
        <v>-1949</v>
      </c>
    </row>
    <row r="37" spans="1:6" x14ac:dyDescent="0.3">
      <c r="A37" t="s">
        <v>46</v>
      </c>
    </row>
    <row r="38" spans="1:6" x14ac:dyDescent="0.3">
      <c r="A38" t="s">
        <v>47</v>
      </c>
    </row>
    <row r="39" spans="1:6" x14ac:dyDescent="0.3">
      <c r="A39" t="s">
        <v>48</v>
      </c>
    </row>
    <row r="40" spans="1:6" x14ac:dyDescent="0.3">
      <c r="A40" t="s">
        <v>49</v>
      </c>
    </row>
    <row r="41" spans="1:6" x14ac:dyDescent="0.3">
      <c r="A41" t="s">
        <v>50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3:G41"/>
  <sheetViews>
    <sheetView workbookViewId="0"/>
  </sheetViews>
  <sheetFormatPr defaultRowHeight="14.4" x14ac:dyDescent="0.3"/>
  <sheetData>
    <row r="3" spans="1:7" x14ac:dyDescent="0.3">
      <c r="A3" s="24" t="s">
        <v>90</v>
      </c>
      <c r="B3" s="24"/>
      <c r="C3" s="24"/>
      <c r="D3" s="24"/>
      <c r="E3" s="24"/>
      <c r="F3" s="24"/>
    </row>
    <row r="4" spans="1:7" x14ac:dyDescent="0.3">
      <c r="C4" t="s">
        <v>32</v>
      </c>
      <c r="D4" t="s">
        <v>33</v>
      </c>
      <c r="E4" t="s">
        <v>87</v>
      </c>
      <c r="G4" t="s">
        <v>55</v>
      </c>
    </row>
    <row r="5" spans="1:7" x14ac:dyDescent="0.3">
      <c r="A5" t="s">
        <v>35</v>
      </c>
      <c r="C5">
        <v>6649</v>
      </c>
      <c r="D5" s="43">
        <v>45624</v>
      </c>
      <c r="E5">
        <v>358</v>
      </c>
      <c r="G5">
        <f>SUM(C5:F5)</f>
        <v>52631</v>
      </c>
    </row>
    <row r="6" spans="1:7" x14ac:dyDescent="0.3">
      <c r="A6" t="s">
        <v>36</v>
      </c>
      <c r="D6">
        <v>3177</v>
      </c>
      <c r="G6">
        <f>SUM(C6:F6)</f>
        <v>3177</v>
      </c>
    </row>
    <row r="7" spans="1:7" x14ac:dyDescent="0.3">
      <c r="A7" t="s">
        <v>37</v>
      </c>
      <c r="C7">
        <v>806</v>
      </c>
      <c r="D7">
        <v>30318</v>
      </c>
      <c r="G7">
        <f>SUM(C7:F7)</f>
        <v>31124</v>
      </c>
    </row>
    <row r="8" spans="1:7" ht="15.6" x14ac:dyDescent="0.3">
      <c r="A8" s="25" t="s">
        <v>63</v>
      </c>
      <c r="B8" s="25"/>
      <c r="C8" s="25">
        <f>SUM(C5:C7)</f>
        <v>7455</v>
      </c>
      <c r="D8" s="25">
        <f>SUM(D5:D7)</f>
        <v>79119</v>
      </c>
      <c r="E8" s="25"/>
      <c r="F8" s="25"/>
      <c r="G8" s="25">
        <f>SUM(G5:G7)</f>
        <v>86932</v>
      </c>
    </row>
    <row r="10" spans="1:7" x14ac:dyDescent="0.3">
      <c r="A10" s="24" t="s">
        <v>97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>
        <v>1</v>
      </c>
      <c r="D12" s="43">
        <v>497</v>
      </c>
      <c r="G12">
        <f>SUM(C12:E12)</f>
        <v>498</v>
      </c>
    </row>
    <row r="13" spans="1:7" x14ac:dyDescent="0.3">
      <c r="A13" t="s">
        <v>53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54</v>
      </c>
      <c r="C14">
        <v>0</v>
      </c>
      <c r="D14" s="43">
        <v>967</v>
      </c>
      <c r="G14">
        <f>SUM(C14:E14)</f>
        <v>967</v>
      </c>
    </row>
    <row r="15" spans="1:7" ht="15.6" x14ac:dyDescent="0.3">
      <c r="A15" s="25" t="s">
        <v>55</v>
      </c>
      <c r="B15" s="25"/>
      <c r="C15" s="25">
        <f>SUM(C12:C14)</f>
        <v>1</v>
      </c>
      <c r="D15" s="25">
        <f>SUM(D12:D14)</f>
        <v>1464</v>
      </c>
      <c r="E15" s="25"/>
      <c r="F15" s="25"/>
      <c r="G15" s="25">
        <f>SUM(G12:G14)</f>
        <v>1465</v>
      </c>
    </row>
    <row r="17" spans="1:7" x14ac:dyDescent="0.3">
      <c r="A17" s="29" t="s">
        <v>98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95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1</v>
      </c>
      <c r="C19" s="43">
        <v>3578</v>
      </c>
      <c r="D19" s="43">
        <v>239</v>
      </c>
      <c r="E19" s="43">
        <v>204</v>
      </c>
      <c r="F19" s="43">
        <v>0</v>
      </c>
      <c r="G19">
        <f>SUM(B19:F19)</f>
        <v>4022</v>
      </c>
    </row>
    <row r="20" spans="1:7" x14ac:dyDescent="0.3">
      <c r="A20" t="s">
        <v>36</v>
      </c>
      <c r="C20" s="43"/>
      <c r="D20" s="43">
        <v>436</v>
      </c>
      <c r="E20" s="43"/>
      <c r="F20" s="43"/>
      <c r="G20">
        <f>SUM(C20:F20)</f>
        <v>436</v>
      </c>
    </row>
    <row r="21" spans="1:7" x14ac:dyDescent="0.3">
      <c r="A21" t="s">
        <v>37</v>
      </c>
      <c r="B21">
        <v>1</v>
      </c>
      <c r="C21" s="43">
        <v>1034</v>
      </c>
      <c r="D21" s="43">
        <v>36</v>
      </c>
      <c r="E21" s="43">
        <v>151</v>
      </c>
      <c r="F21" s="43">
        <v>1</v>
      </c>
      <c r="G21">
        <f>SUM(B21:F21)</f>
        <v>1223</v>
      </c>
    </row>
    <row r="22" spans="1:7" ht="15.6" x14ac:dyDescent="0.3">
      <c r="A22" t="s">
        <v>34</v>
      </c>
      <c r="C22" s="25">
        <f>SUM(C19:C21)</f>
        <v>4612</v>
      </c>
      <c r="D22" s="25">
        <f>SUM(D19:D21)</f>
        <v>711</v>
      </c>
      <c r="E22" s="25">
        <f>SUM(E19:E21)</f>
        <v>355</v>
      </c>
      <c r="F22" s="25">
        <f>SUM(F19:F21)</f>
        <v>1</v>
      </c>
      <c r="G22" s="25">
        <f>SUM(G19:G21)</f>
        <v>5681</v>
      </c>
    </row>
    <row r="24" spans="1:7" x14ac:dyDescent="0.3">
      <c r="A24" s="24" t="s">
        <v>99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5095</v>
      </c>
      <c r="D26" s="43">
        <v>43654</v>
      </c>
      <c r="E26">
        <v>358</v>
      </c>
      <c r="G26">
        <f>SUM(C26:F26)</f>
        <v>49107</v>
      </c>
    </row>
    <row r="27" spans="1:7" x14ac:dyDescent="0.3">
      <c r="A27" t="s">
        <v>36</v>
      </c>
      <c r="D27">
        <v>2741</v>
      </c>
      <c r="G27">
        <f>SUM(C27:F27)</f>
        <v>2741</v>
      </c>
    </row>
    <row r="28" spans="1:7" x14ac:dyDescent="0.3">
      <c r="A28" t="s">
        <v>37</v>
      </c>
      <c r="C28">
        <v>319</v>
      </c>
      <c r="D28">
        <v>30549</v>
      </c>
      <c r="G28">
        <f>SUM(C28:F28)</f>
        <v>30868</v>
      </c>
    </row>
    <row r="29" spans="1:7" ht="15.6" x14ac:dyDescent="0.3">
      <c r="A29" s="25" t="s">
        <v>63</v>
      </c>
      <c r="B29" s="25"/>
      <c r="C29" s="25">
        <f>SUM(C26:C28)</f>
        <v>5414</v>
      </c>
      <c r="D29" s="25">
        <f>SUM(D26:D28)</f>
        <v>76944</v>
      </c>
      <c r="E29" s="25"/>
      <c r="F29" s="25"/>
      <c r="G29" s="25">
        <f>SUM(G26:G28)</f>
        <v>82716</v>
      </c>
    </row>
    <row r="31" spans="1:7" ht="15.6" x14ac:dyDescent="0.3">
      <c r="A31" s="26" t="s">
        <v>100</v>
      </c>
      <c r="B31" s="26"/>
      <c r="C31" s="24"/>
      <c r="D31" s="24"/>
      <c r="E31" s="24"/>
      <c r="F31" s="24"/>
    </row>
    <row r="32" spans="1:7" x14ac:dyDescent="0.3">
      <c r="A32" t="s">
        <v>35</v>
      </c>
      <c r="F32">
        <f>G26-G5</f>
        <v>-3524</v>
      </c>
    </row>
    <row r="33" spans="1:6" x14ac:dyDescent="0.3">
      <c r="A33" t="s">
        <v>36</v>
      </c>
      <c r="F33">
        <f>G27-G6</f>
        <v>-436</v>
      </c>
    </row>
    <row r="34" spans="1:6" x14ac:dyDescent="0.3">
      <c r="A34" t="s">
        <v>37</v>
      </c>
      <c r="F34">
        <f>G28-G7</f>
        <v>-256</v>
      </c>
    </row>
    <row r="35" spans="1:6" ht="15.6" x14ac:dyDescent="0.3">
      <c r="A35" s="25" t="s">
        <v>34</v>
      </c>
      <c r="B35" s="25"/>
      <c r="C35" s="25"/>
      <c r="D35" s="25"/>
      <c r="E35" s="25"/>
      <c r="F35" s="25">
        <f>SUM(F32:F34)</f>
        <v>-4216</v>
      </c>
    </row>
    <row r="37" spans="1:6" x14ac:dyDescent="0.3">
      <c r="A37" t="s">
        <v>46</v>
      </c>
    </row>
    <row r="38" spans="1:6" x14ac:dyDescent="0.3">
      <c r="A38" t="s">
        <v>47</v>
      </c>
    </row>
    <row r="39" spans="1:6" x14ac:dyDescent="0.3">
      <c r="A39" t="s">
        <v>48</v>
      </c>
    </row>
    <row r="40" spans="1:6" x14ac:dyDescent="0.3">
      <c r="A40" t="s">
        <v>49</v>
      </c>
    </row>
    <row r="41" spans="1:6" x14ac:dyDescent="0.3">
      <c r="A41" t="s">
        <v>50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3:G41"/>
  <sheetViews>
    <sheetView topLeftCell="A23" workbookViewId="0"/>
  </sheetViews>
  <sheetFormatPr defaultRowHeight="14.4" x14ac:dyDescent="0.3"/>
  <cols>
    <col min="1" max="1" width="24.6640625" customWidth="1"/>
    <col min="2" max="2" width="10.109375" bestFit="1" customWidth="1"/>
  </cols>
  <sheetData>
    <row r="3" spans="1:7" x14ac:dyDescent="0.3">
      <c r="A3" s="24" t="s">
        <v>99</v>
      </c>
      <c r="B3" s="24"/>
      <c r="C3" s="24"/>
      <c r="D3" s="24"/>
      <c r="E3" s="24"/>
      <c r="F3" s="24"/>
    </row>
    <row r="4" spans="1:7" x14ac:dyDescent="0.3">
      <c r="C4" t="s">
        <v>32</v>
      </c>
      <c r="D4" t="s">
        <v>33</v>
      </c>
      <c r="E4" t="s">
        <v>87</v>
      </c>
      <c r="G4" t="s">
        <v>55</v>
      </c>
    </row>
    <row r="5" spans="1:7" x14ac:dyDescent="0.3">
      <c r="A5" t="s">
        <v>35</v>
      </c>
      <c r="C5">
        <v>5095</v>
      </c>
      <c r="D5" s="43">
        <v>43654</v>
      </c>
      <c r="E5">
        <v>358</v>
      </c>
      <c r="G5">
        <f>SUM(C5:F5)</f>
        <v>49107</v>
      </c>
    </row>
    <row r="6" spans="1:7" x14ac:dyDescent="0.3">
      <c r="A6" t="s">
        <v>36</v>
      </c>
      <c r="D6">
        <v>2741</v>
      </c>
      <c r="G6">
        <f>SUM(C6:F6)</f>
        <v>2741</v>
      </c>
    </row>
    <row r="7" spans="1:7" x14ac:dyDescent="0.3">
      <c r="A7" t="s">
        <v>37</v>
      </c>
      <c r="C7">
        <v>319</v>
      </c>
      <c r="D7">
        <v>30549</v>
      </c>
      <c r="G7">
        <f>SUM(C7:F7)</f>
        <v>30868</v>
      </c>
    </row>
    <row r="8" spans="1:7" ht="15.6" x14ac:dyDescent="0.3">
      <c r="A8" s="25" t="s">
        <v>63</v>
      </c>
      <c r="B8" s="25"/>
      <c r="C8" s="25">
        <f>SUM(C5:C7)</f>
        <v>5414</v>
      </c>
      <c r="D8" s="25">
        <f>SUM(D5:D7)</f>
        <v>76944</v>
      </c>
      <c r="E8" s="25"/>
      <c r="F8" s="25"/>
      <c r="G8" s="25">
        <f>SUM(G5:G7)</f>
        <v>82716</v>
      </c>
    </row>
    <row r="10" spans="1:7" x14ac:dyDescent="0.3">
      <c r="A10" s="24" t="s">
        <v>101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>
        <v>1</v>
      </c>
      <c r="D12" s="43">
        <v>481</v>
      </c>
      <c r="G12">
        <f>SUM(C12:E12)</f>
        <v>482</v>
      </c>
    </row>
    <row r="13" spans="1:7" x14ac:dyDescent="0.3">
      <c r="A13" t="s">
        <v>53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54</v>
      </c>
      <c r="C14">
        <v>0</v>
      </c>
      <c r="D14" s="43">
        <v>826</v>
      </c>
      <c r="G14">
        <f>SUM(C14:E14)</f>
        <v>826</v>
      </c>
    </row>
    <row r="15" spans="1:7" ht="15.6" x14ac:dyDescent="0.3">
      <c r="A15" s="25" t="s">
        <v>55</v>
      </c>
      <c r="B15" s="25"/>
      <c r="C15" s="25">
        <f>SUM(C12:C14)</f>
        <v>1</v>
      </c>
      <c r="D15" s="25">
        <f>SUM(D12:D14)</f>
        <v>1307</v>
      </c>
      <c r="E15" s="25"/>
      <c r="F15" s="25"/>
      <c r="G15" s="25">
        <f>SUM(G12:G14)</f>
        <v>1308</v>
      </c>
    </row>
    <row r="17" spans="1:7" x14ac:dyDescent="0.3">
      <c r="A17" s="29" t="s">
        <v>102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95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1</v>
      </c>
      <c r="C19" s="43">
        <v>602</v>
      </c>
      <c r="D19" s="43">
        <v>71</v>
      </c>
      <c r="E19" s="43">
        <v>108</v>
      </c>
      <c r="F19" s="43">
        <v>0</v>
      </c>
      <c r="G19">
        <f>SUM(B19:F19)</f>
        <v>782</v>
      </c>
    </row>
    <row r="20" spans="1:7" x14ac:dyDescent="0.3">
      <c r="A20" t="s">
        <v>36</v>
      </c>
      <c r="C20" s="43"/>
      <c r="D20" s="43">
        <v>174</v>
      </c>
      <c r="E20" s="43"/>
      <c r="F20" s="43"/>
      <c r="G20">
        <f>SUM(C20:F20)</f>
        <v>174</v>
      </c>
    </row>
    <row r="21" spans="1:7" x14ac:dyDescent="0.3">
      <c r="A21" t="s">
        <v>37</v>
      </c>
      <c r="B21">
        <v>0</v>
      </c>
      <c r="C21" s="43">
        <v>180</v>
      </c>
      <c r="D21" s="43">
        <v>24</v>
      </c>
      <c r="E21" s="43">
        <v>130</v>
      </c>
      <c r="F21" s="43">
        <v>7</v>
      </c>
      <c r="G21">
        <f>SUM(B21:F21)</f>
        <v>341</v>
      </c>
    </row>
    <row r="22" spans="1:7" ht="15.6" x14ac:dyDescent="0.3">
      <c r="A22" t="s">
        <v>34</v>
      </c>
      <c r="C22" s="25">
        <f>SUM(C19:C21)</f>
        <v>782</v>
      </c>
      <c r="D22" s="25">
        <f>SUM(D19:D21)</f>
        <v>269</v>
      </c>
      <c r="E22" s="25">
        <f>SUM(E19:E21)</f>
        <v>238</v>
      </c>
      <c r="F22" s="25">
        <f>SUM(F19:F21)</f>
        <v>7</v>
      </c>
      <c r="G22" s="25">
        <f>SUM(G19:G21)</f>
        <v>1297</v>
      </c>
    </row>
    <row r="24" spans="1:7" x14ac:dyDescent="0.3">
      <c r="A24" s="24" t="s">
        <v>103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10428</v>
      </c>
      <c r="D26" s="43">
        <v>38021</v>
      </c>
      <c r="E26">
        <v>358</v>
      </c>
      <c r="G26">
        <f>SUM(C26:F26)</f>
        <v>48807</v>
      </c>
    </row>
    <row r="27" spans="1:7" x14ac:dyDescent="0.3">
      <c r="A27" t="s">
        <v>36</v>
      </c>
      <c r="D27">
        <v>2567</v>
      </c>
      <c r="G27">
        <f>SUM(C27:F27)</f>
        <v>2567</v>
      </c>
    </row>
    <row r="28" spans="1:7" x14ac:dyDescent="0.3">
      <c r="A28" t="s">
        <v>37</v>
      </c>
      <c r="C28">
        <v>389</v>
      </c>
      <c r="D28" s="43">
        <v>30964</v>
      </c>
      <c r="G28">
        <f>SUM(C28:F28)</f>
        <v>31353</v>
      </c>
    </row>
    <row r="29" spans="1:7" ht="15.6" x14ac:dyDescent="0.3">
      <c r="A29" s="25" t="s">
        <v>63</v>
      </c>
      <c r="B29" s="25"/>
      <c r="C29" s="25">
        <f>SUM(C26:C28)</f>
        <v>10817</v>
      </c>
      <c r="D29" s="25">
        <f>SUM(D26:D28)</f>
        <v>71552</v>
      </c>
      <c r="E29" s="25"/>
      <c r="F29" s="25"/>
      <c r="G29" s="25">
        <f>SUM(G26:G28)</f>
        <v>82727</v>
      </c>
    </row>
    <row r="31" spans="1:7" ht="15.6" x14ac:dyDescent="0.3">
      <c r="A31" s="26" t="s">
        <v>104</v>
      </c>
      <c r="B31" s="26"/>
      <c r="C31" s="24"/>
      <c r="D31" s="24"/>
      <c r="E31" s="24"/>
      <c r="F31" s="24"/>
    </row>
    <row r="32" spans="1:7" x14ac:dyDescent="0.3">
      <c r="A32" t="s">
        <v>35</v>
      </c>
      <c r="F32">
        <f>G26-G5</f>
        <v>-300</v>
      </c>
    </row>
    <row r="33" spans="1:6" x14ac:dyDescent="0.3">
      <c r="A33" t="s">
        <v>36</v>
      </c>
      <c r="F33">
        <f>G27-G6</f>
        <v>-174</v>
      </c>
    </row>
    <row r="34" spans="1:6" x14ac:dyDescent="0.3">
      <c r="A34" t="s">
        <v>37</v>
      </c>
      <c r="F34">
        <f>G28-G7</f>
        <v>485</v>
      </c>
    </row>
    <row r="35" spans="1:6" ht="15.6" x14ac:dyDescent="0.3">
      <c r="A35" s="25" t="s">
        <v>34</v>
      </c>
      <c r="B35" s="25"/>
      <c r="C35" s="25"/>
      <c r="D35" s="25"/>
      <c r="E35" s="25"/>
      <c r="F35" s="25">
        <f>SUM(F32:F34)</f>
        <v>11</v>
      </c>
    </row>
    <row r="37" spans="1:6" x14ac:dyDescent="0.3">
      <c r="A37" t="s">
        <v>46</v>
      </c>
    </row>
    <row r="38" spans="1:6" x14ac:dyDescent="0.3">
      <c r="A38" t="s">
        <v>47</v>
      </c>
    </row>
    <row r="39" spans="1:6" x14ac:dyDescent="0.3">
      <c r="A39" t="s">
        <v>48</v>
      </c>
    </row>
    <row r="40" spans="1:6" x14ac:dyDescent="0.3">
      <c r="A40" t="s">
        <v>49</v>
      </c>
    </row>
    <row r="41" spans="1:6" x14ac:dyDescent="0.3">
      <c r="A41" t="s">
        <v>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3:G41"/>
  <sheetViews>
    <sheetView workbookViewId="0"/>
  </sheetViews>
  <sheetFormatPr defaultRowHeight="14.4" x14ac:dyDescent="0.3"/>
  <cols>
    <col min="1" max="1" width="14.6640625" customWidth="1"/>
    <col min="2" max="2" width="11.109375" customWidth="1"/>
  </cols>
  <sheetData>
    <row r="3" spans="1:7" x14ac:dyDescent="0.3">
      <c r="A3" s="24" t="s">
        <v>103</v>
      </c>
      <c r="B3" s="24"/>
      <c r="C3" s="24"/>
      <c r="D3" s="24"/>
      <c r="E3" s="24"/>
      <c r="F3" s="24"/>
    </row>
    <row r="4" spans="1:7" x14ac:dyDescent="0.3">
      <c r="C4" t="s">
        <v>32</v>
      </c>
      <c r="D4" t="s">
        <v>33</v>
      </c>
      <c r="E4" t="s">
        <v>87</v>
      </c>
      <c r="G4" t="s">
        <v>55</v>
      </c>
    </row>
    <row r="5" spans="1:7" x14ac:dyDescent="0.3">
      <c r="A5" t="s">
        <v>35</v>
      </c>
      <c r="C5">
        <v>10428</v>
      </c>
      <c r="D5" s="43">
        <v>38021</v>
      </c>
      <c r="E5">
        <v>358</v>
      </c>
      <c r="G5">
        <f>SUM(C5:F5)</f>
        <v>48807</v>
      </c>
    </row>
    <row r="6" spans="1:7" x14ac:dyDescent="0.3">
      <c r="A6" t="s">
        <v>36</v>
      </c>
      <c r="D6">
        <v>2567</v>
      </c>
      <c r="G6">
        <f>SUM(C6:F6)</f>
        <v>2567</v>
      </c>
    </row>
    <row r="7" spans="1:7" x14ac:dyDescent="0.3">
      <c r="A7" t="s">
        <v>37</v>
      </c>
      <c r="C7">
        <v>389</v>
      </c>
      <c r="D7" s="43">
        <v>30964</v>
      </c>
      <c r="G7">
        <f>SUM(C7:F7)</f>
        <v>31353</v>
      </c>
    </row>
    <row r="8" spans="1:7" ht="15.6" x14ac:dyDescent="0.3">
      <c r="A8" s="25" t="s">
        <v>63</v>
      </c>
      <c r="B8" s="25"/>
      <c r="C8" s="25">
        <f>SUM(C5:C7)</f>
        <v>10817</v>
      </c>
      <c r="D8" s="25">
        <f>SUM(D5:D7)</f>
        <v>71552</v>
      </c>
      <c r="E8" s="25"/>
      <c r="F8" s="25"/>
      <c r="G8" s="25">
        <f>SUM(G5:G7)</f>
        <v>82727</v>
      </c>
    </row>
    <row r="10" spans="1:7" x14ac:dyDescent="0.3">
      <c r="A10" s="24" t="s">
        <v>106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>
        <v>1548</v>
      </c>
      <c r="D12" s="43">
        <v>349</v>
      </c>
      <c r="G12">
        <f>SUM(C12:E12)</f>
        <v>1897</v>
      </c>
    </row>
    <row r="13" spans="1:7" x14ac:dyDescent="0.3">
      <c r="A13" t="s">
        <v>53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54</v>
      </c>
      <c r="C14">
        <v>83</v>
      </c>
      <c r="D14" s="43">
        <v>738</v>
      </c>
      <c r="G14">
        <f>SUM(C14:E14)</f>
        <v>821</v>
      </c>
    </row>
    <row r="15" spans="1:7" ht="15.6" x14ac:dyDescent="0.3">
      <c r="A15" s="25" t="s">
        <v>55</v>
      </c>
      <c r="B15" s="25"/>
      <c r="C15" s="25">
        <f>SUM(C12:C14)</f>
        <v>1631</v>
      </c>
      <c r="D15" s="25">
        <f>SUM(D12:D14)</f>
        <v>1087</v>
      </c>
      <c r="E15" s="25"/>
      <c r="F15" s="25"/>
      <c r="G15" s="25">
        <f>SUM(G12:G14)</f>
        <v>2718</v>
      </c>
    </row>
    <row r="17" spans="1:7" x14ac:dyDescent="0.3">
      <c r="A17" s="29" t="s">
        <v>107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95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0</v>
      </c>
      <c r="C19" s="43">
        <v>598</v>
      </c>
      <c r="D19" s="43">
        <v>0</v>
      </c>
      <c r="E19" s="43">
        <v>41</v>
      </c>
      <c r="F19" s="43">
        <v>0</v>
      </c>
      <c r="G19">
        <f>SUM(B19:F19)</f>
        <v>639</v>
      </c>
    </row>
    <row r="20" spans="1:7" x14ac:dyDescent="0.3">
      <c r="A20" t="s">
        <v>36</v>
      </c>
      <c r="C20" s="43"/>
      <c r="D20" s="43">
        <v>426</v>
      </c>
      <c r="E20" s="43"/>
      <c r="F20" s="43"/>
      <c r="G20">
        <f>SUM(C20:F20)</f>
        <v>426</v>
      </c>
    </row>
    <row r="21" spans="1:7" x14ac:dyDescent="0.3">
      <c r="A21" t="s">
        <v>37</v>
      </c>
      <c r="B21">
        <v>0</v>
      </c>
      <c r="C21" s="43">
        <v>235</v>
      </c>
      <c r="D21" s="43">
        <v>0</v>
      </c>
      <c r="E21" s="43">
        <v>71</v>
      </c>
      <c r="F21" s="43">
        <v>6</v>
      </c>
      <c r="G21">
        <f>SUM(B21:F21)</f>
        <v>312</v>
      </c>
    </row>
    <row r="22" spans="1:7" ht="15.6" x14ac:dyDescent="0.3">
      <c r="A22" t="s">
        <v>34</v>
      </c>
      <c r="C22" s="25">
        <f>SUM(C19:C21)</f>
        <v>833</v>
      </c>
      <c r="D22" s="25">
        <f>SUM(D19:D21)</f>
        <v>426</v>
      </c>
      <c r="E22" s="25">
        <f>SUM(E19:E21)</f>
        <v>112</v>
      </c>
      <c r="F22" s="25">
        <f>SUM(F19:F21)</f>
        <v>6</v>
      </c>
      <c r="G22" s="25">
        <f>SUM(G19:G21)</f>
        <v>1377</v>
      </c>
    </row>
    <row r="24" spans="1:7" x14ac:dyDescent="0.3">
      <c r="A24" s="24" t="s">
        <v>108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11842</v>
      </c>
      <c r="D26" s="43">
        <v>37865</v>
      </c>
      <c r="E26">
        <v>358</v>
      </c>
      <c r="G26">
        <f>SUM(C26:F26)</f>
        <v>50065</v>
      </c>
    </row>
    <row r="27" spans="1:7" x14ac:dyDescent="0.3">
      <c r="A27" t="s">
        <v>36</v>
      </c>
      <c r="D27">
        <v>2141</v>
      </c>
      <c r="G27">
        <f>SUM(C27:F27)</f>
        <v>2141</v>
      </c>
    </row>
    <row r="28" spans="1:7" x14ac:dyDescent="0.3">
      <c r="A28" t="s">
        <v>37</v>
      </c>
      <c r="C28">
        <v>1098</v>
      </c>
      <c r="D28" s="43">
        <v>30764</v>
      </c>
      <c r="G28">
        <f>SUM(C28:F28)</f>
        <v>31862</v>
      </c>
    </row>
    <row r="29" spans="1:7" ht="15.6" x14ac:dyDescent="0.3">
      <c r="A29" s="25" t="s">
        <v>63</v>
      </c>
      <c r="B29" s="25"/>
      <c r="C29" s="25">
        <f>SUM(C26:C28)</f>
        <v>12940</v>
      </c>
      <c r="D29" s="25">
        <f>SUM(D26:D28)</f>
        <v>70770</v>
      </c>
      <c r="E29" s="25"/>
      <c r="F29" s="25"/>
      <c r="G29" s="25">
        <f>SUM(G26:G28)</f>
        <v>84068</v>
      </c>
    </row>
    <row r="31" spans="1:7" ht="15.6" x14ac:dyDescent="0.3">
      <c r="A31" s="26" t="s">
        <v>109</v>
      </c>
      <c r="B31" s="26"/>
      <c r="C31" s="24"/>
      <c r="D31" s="24"/>
      <c r="E31" s="24"/>
      <c r="F31" s="24"/>
    </row>
    <row r="32" spans="1:7" x14ac:dyDescent="0.3">
      <c r="A32" t="s">
        <v>35</v>
      </c>
      <c r="F32">
        <f>G26-G5</f>
        <v>1258</v>
      </c>
    </row>
    <row r="33" spans="1:6" x14ac:dyDescent="0.3">
      <c r="A33" t="s">
        <v>36</v>
      </c>
      <c r="F33">
        <f>G27-G6</f>
        <v>-426</v>
      </c>
    </row>
    <row r="34" spans="1:6" x14ac:dyDescent="0.3">
      <c r="A34" t="s">
        <v>37</v>
      </c>
      <c r="F34">
        <f>G28-G7</f>
        <v>509</v>
      </c>
    </row>
    <row r="35" spans="1:6" ht="15.6" x14ac:dyDescent="0.3">
      <c r="A35" s="25" t="s">
        <v>34</v>
      </c>
      <c r="B35" s="25"/>
      <c r="C35" s="25"/>
      <c r="D35" s="25"/>
      <c r="E35" s="25"/>
      <c r="F35" s="25">
        <f>SUM(F32:F34)</f>
        <v>1341</v>
      </c>
    </row>
    <row r="37" spans="1:6" x14ac:dyDescent="0.3">
      <c r="A37" t="s">
        <v>46</v>
      </c>
    </row>
    <row r="38" spans="1:6" x14ac:dyDescent="0.3">
      <c r="A38" t="s">
        <v>47</v>
      </c>
    </row>
    <row r="39" spans="1:6" x14ac:dyDescent="0.3">
      <c r="A39" t="s">
        <v>48</v>
      </c>
    </row>
    <row r="40" spans="1:6" x14ac:dyDescent="0.3">
      <c r="A40" t="s">
        <v>49</v>
      </c>
    </row>
    <row r="41" spans="1:6" x14ac:dyDescent="0.3">
      <c r="A41" t="s">
        <v>50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3:G42"/>
  <sheetViews>
    <sheetView topLeftCell="A18" workbookViewId="0"/>
  </sheetViews>
  <sheetFormatPr defaultRowHeight="14.4" x14ac:dyDescent="0.3"/>
  <cols>
    <col min="1" max="1" width="15.5546875" customWidth="1"/>
  </cols>
  <sheetData>
    <row r="3" spans="1:7" x14ac:dyDescent="0.3">
      <c r="A3" s="24" t="s">
        <v>108</v>
      </c>
      <c r="B3" s="24"/>
      <c r="C3" s="24"/>
      <c r="D3" s="24"/>
      <c r="E3" s="24"/>
      <c r="F3" s="24"/>
    </row>
    <row r="4" spans="1:7" x14ac:dyDescent="0.3">
      <c r="C4" t="s">
        <v>32</v>
      </c>
      <c r="D4" t="s">
        <v>33</v>
      </c>
      <c r="E4" t="s">
        <v>87</v>
      </c>
      <c r="G4" t="s">
        <v>55</v>
      </c>
    </row>
    <row r="5" spans="1:7" x14ac:dyDescent="0.3">
      <c r="A5" t="s">
        <v>35</v>
      </c>
      <c r="C5">
        <v>11842</v>
      </c>
      <c r="D5" s="43">
        <v>37865</v>
      </c>
      <c r="E5">
        <v>358</v>
      </c>
      <c r="G5">
        <f>SUM(C5:F5)</f>
        <v>50065</v>
      </c>
    </row>
    <row r="6" spans="1:7" x14ac:dyDescent="0.3">
      <c r="A6" t="s">
        <v>36</v>
      </c>
      <c r="D6">
        <v>2141</v>
      </c>
      <c r="E6">
        <v>0</v>
      </c>
      <c r="G6">
        <f>SUM(C6:F6)</f>
        <v>2141</v>
      </c>
    </row>
    <row r="7" spans="1:7" x14ac:dyDescent="0.3">
      <c r="A7" t="s">
        <v>37</v>
      </c>
      <c r="C7">
        <v>1098</v>
      </c>
      <c r="D7" s="43">
        <v>30764</v>
      </c>
      <c r="E7">
        <v>0</v>
      </c>
      <c r="G7">
        <f>SUM(C7:F7)</f>
        <v>31862</v>
      </c>
    </row>
    <row r="8" spans="1:7" ht="15.6" x14ac:dyDescent="0.3">
      <c r="A8" s="25" t="s">
        <v>63</v>
      </c>
      <c r="B8" s="25"/>
      <c r="C8" s="25">
        <f>SUM(C5:C7)</f>
        <v>12940</v>
      </c>
      <c r="D8" s="25">
        <f>SUM(D5:D7)</f>
        <v>70770</v>
      </c>
      <c r="E8" s="25">
        <f>SUM(E5:E7)</f>
        <v>358</v>
      </c>
      <c r="F8" s="25"/>
      <c r="G8" s="25">
        <f>SUM(G5:G7)</f>
        <v>84068</v>
      </c>
    </row>
    <row r="10" spans="1:7" x14ac:dyDescent="0.3">
      <c r="A10" s="24" t="s">
        <v>110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>
        <v>0</v>
      </c>
      <c r="D12" s="43">
        <v>1524</v>
      </c>
      <c r="G12">
        <f>SUM(C12:E12)</f>
        <v>1524</v>
      </c>
    </row>
    <row r="13" spans="1:7" x14ac:dyDescent="0.3">
      <c r="A13" t="s">
        <v>53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54</v>
      </c>
      <c r="C14">
        <v>0</v>
      </c>
      <c r="D14" s="43">
        <v>1290</v>
      </c>
      <c r="G14">
        <f>SUM(C14:E14)</f>
        <v>1290</v>
      </c>
    </row>
    <row r="15" spans="1:7" ht="15.6" x14ac:dyDescent="0.3">
      <c r="A15" s="25" t="s">
        <v>55</v>
      </c>
      <c r="B15" s="25"/>
      <c r="C15" s="25">
        <f>SUM(C12:C14)</f>
        <v>0</v>
      </c>
      <c r="D15" s="25">
        <f>SUM(D12:D14)</f>
        <v>2814</v>
      </c>
      <c r="E15" s="25"/>
      <c r="F15" s="25"/>
      <c r="G15" s="25">
        <f>SUM(G12:G14)</f>
        <v>2814</v>
      </c>
    </row>
    <row r="17" spans="1:7" x14ac:dyDescent="0.3">
      <c r="A17" s="29" t="s">
        <v>111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113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1</v>
      </c>
      <c r="C19" s="43">
        <v>453</v>
      </c>
      <c r="D19" s="43">
        <v>72</v>
      </c>
      <c r="E19" s="43">
        <v>55</v>
      </c>
      <c r="F19" s="43">
        <v>0</v>
      </c>
      <c r="G19">
        <f>SUM(B19:F19)</f>
        <v>581</v>
      </c>
    </row>
    <row r="20" spans="1:7" x14ac:dyDescent="0.3">
      <c r="A20" t="s">
        <v>36</v>
      </c>
      <c r="B20">
        <v>0</v>
      </c>
      <c r="C20" s="43">
        <v>0</v>
      </c>
      <c r="D20" s="43">
        <v>363</v>
      </c>
      <c r="E20" s="43">
        <v>0</v>
      </c>
      <c r="F20" s="43">
        <v>0</v>
      </c>
      <c r="G20">
        <f>SUM(C20:F20)</f>
        <v>363</v>
      </c>
    </row>
    <row r="21" spans="1:7" x14ac:dyDescent="0.3">
      <c r="A21" t="s">
        <v>37</v>
      </c>
      <c r="B21">
        <v>0</v>
      </c>
      <c r="C21" s="43">
        <v>399</v>
      </c>
      <c r="D21" s="43">
        <v>9</v>
      </c>
      <c r="E21" s="43">
        <v>64</v>
      </c>
      <c r="F21" s="43">
        <v>0</v>
      </c>
      <c r="G21">
        <f>SUM(B21:F21)</f>
        <v>472</v>
      </c>
    </row>
    <row r="22" spans="1:7" ht="15.6" x14ac:dyDescent="0.3">
      <c r="A22" t="s">
        <v>34</v>
      </c>
      <c r="C22" s="25">
        <f>SUM(C19:C21)</f>
        <v>852</v>
      </c>
      <c r="D22" s="25">
        <f>SUM(D19:D21)</f>
        <v>444</v>
      </c>
      <c r="E22" s="25">
        <f>SUM(E19:E21)</f>
        <v>119</v>
      </c>
      <c r="F22" s="25">
        <f>SUM(F19:F21)</f>
        <v>0</v>
      </c>
      <c r="G22" s="25">
        <f>SUM(G19:G21)</f>
        <v>1416</v>
      </c>
    </row>
    <row r="24" spans="1:7" x14ac:dyDescent="0.3">
      <c r="A24" s="24" t="s">
        <v>112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12583</v>
      </c>
      <c r="D26" s="43">
        <v>38067</v>
      </c>
      <c r="E26">
        <v>358</v>
      </c>
      <c r="G26">
        <f>SUM(C26:F26)</f>
        <v>51008</v>
      </c>
    </row>
    <row r="27" spans="1:7" x14ac:dyDescent="0.3">
      <c r="A27" t="s">
        <v>36</v>
      </c>
      <c r="C27">
        <v>0</v>
      </c>
      <c r="D27">
        <v>1778</v>
      </c>
      <c r="E27">
        <v>0</v>
      </c>
      <c r="G27">
        <f>SUM(C27:F27)</f>
        <v>1778</v>
      </c>
    </row>
    <row r="28" spans="1:7" x14ac:dyDescent="0.3">
      <c r="A28" t="s">
        <v>37</v>
      </c>
      <c r="C28">
        <v>1588</v>
      </c>
      <c r="D28" s="43">
        <v>31092</v>
      </c>
      <c r="E28">
        <v>0</v>
      </c>
      <c r="G28">
        <f>SUM(C28:F28)</f>
        <v>32680</v>
      </c>
    </row>
    <row r="29" spans="1:7" ht="15.6" x14ac:dyDescent="0.3">
      <c r="A29" s="25" t="s">
        <v>63</v>
      </c>
      <c r="B29" s="25"/>
      <c r="C29" s="25">
        <f>SUM(C26:C28)</f>
        <v>14171</v>
      </c>
      <c r="D29" s="61">
        <f>SUM(D26:D28)</f>
        <v>70937</v>
      </c>
      <c r="E29" s="25">
        <f>SUM(E26:E28)</f>
        <v>358</v>
      </c>
      <c r="F29" s="25"/>
      <c r="G29" s="25">
        <f>SUM(G26:G28)</f>
        <v>85466</v>
      </c>
    </row>
    <row r="31" spans="1:7" ht="15.6" x14ac:dyDescent="0.3">
      <c r="A31" s="26" t="s">
        <v>115</v>
      </c>
      <c r="B31" s="26"/>
      <c r="C31" s="24"/>
      <c r="D31" s="24"/>
      <c r="E31" s="24"/>
      <c r="F31" s="24"/>
    </row>
    <row r="32" spans="1:7" x14ac:dyDescent="0.3">
      <c r="A32" t="s">
        <v>35</v>
      </c>
      <c r="F32">
        <f>G26-G5</f>
        <v>943</v>
      </c>
    </row>
    <row r="33" spans="1:6" x14ac:dyDescent="0.3">
      <c r="A33" t="s">
        <v>36</v>
      </c>
      <c r="F33">
        <f>G27-G6</f>
        <v>-363</v>
      </c>
    </row>
    <row r="34" spans="1:6" x14ac:dyDescent="0.3">
      <c r="A34" t="s">
        <v>37</v>
      </c>
      <c r="F34">
        <f>G28-G7</f>
        <v>818</v>
      </c>
    </row>
    <row r="35" spans="1:6" ht="15.6" x14ac:dyDescent="0.3">
      <c r="A35" s="25" t="s">
        <v>34</v>
      </c>
      <c r="B35" s="25"/>
      <c r="C35" s="25"/>
      <c r="D35" s="25"/>
      <c r="E35" s="25"/>
      <c r="F35" s="25">
        <f>SUM(F32:F34)</f>
        <v>1398</v>
      </c>
    </row>
    <row r="37" spans="1:6" x14ac:dyDescent="0.3">
      <c r="A37" t="s">
        <v>46</v>
      </c>
    </row>
    <row r="38" spans="1:6" x14ac:dyDescent="0.3">
      <c r="A38" t="s">
        <v>47</v>
      </c>
    </row>
    <row r="39" spans="1:6" x14ac:dyDescent="0.3">
      <c r="A39" t="s">
        <v>48</v>
      </c>
    </row>
    <row r="40" spans="1:6" x14ac:dyDescent="0.3">
      <c r="A40" t="s">
        <v>49</v>
      </c>
    </row>
    <row r="41" spans="1:6" x14ac:dyDescent="0.3">
      <c r="A41" t="s">
        <v>50</v>
      </c>
    </row>
    <row r="42" spans="1:6" x14ac:dyDescent="0.3">
      <c r="A42" t="s">
        <v>114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A3:G42"/>
  <sheetViews>
    <sheetView topLeftCell="A13" workbookViewId="0"/>
  </sheetViews>
  <sheetFormatPr defaultRowHeight="14.4" x14ac:dyDescent="0.3"/>
  <sheetData>
    <row r="3" spans="1:7" x14ac:dyDescent="0.3">
      <c r="A3" s="24" t="s">
        <v>112</v>
      </c>
      <c r="B3" s="24"/>
      <c r="C3" s="24"/>
      <c r="D3" s="24"/>
      <c r="E3" s="24"/>
      <c r="F3" s="24"/>
    </row>
    <row r="4" spans="1:7" x14ac:dyDescent="0.3">
      <c r="C4" t="s">
        <v>32</v>
      </c>
      <c r="D4" t="s">
        <v>33</v>
      </c>
      <c r="E4" t="s">
        <v>87</v>
      </c>
      <c r="G4" t="s">
        <v>55</v>
      </c>
    </row>
    <row r="5" spans="1:7" x14ac:dyDescent="0.3">
      <c r="A5" t="s">
        <v>35</v>
      </c>
      <c r="C5">
        <v>12583</v>
      </c>
      <c r="D5" s="43">
        <v>38067</v>
      </c>
      <c r="E5">
        <v>358</v>
      </c>
      <c r="G5">
        <f>SUM(C5:F5)</f>
        <v>51008</v>
      </c>
    </row>
    <row r="6" spans="1:7" x14ac:dyDescent="0.3">
      <c r="A6" t="s">
        <v>36</v>
      </c>
      <c r="C6">
        <v>0</v>
      </c>
      <c r="D6">
        <v>1778</v>
      </c>
      <c r="E6">
        <v>0</v>
      </c>
      <c r="G6">
        <f>SUM(C6:F6)</f>
        <v>1778</v>
      </c>
    </row>
    <row r="7" spans="1:7" x14ac:dyDescent="0.3">
      <c r="A7" t="s">
        <v>37</v>
      </c>
      <c r="C7">
        <v>1588</v>
      </c>
      <c r="D7" s="43">
        <v>31092</v>
      </c>
      <c r="E7">
        <v>0</v>
      </c>
      <c r="G7">
        <f>SUM(C7:F7)</f>
        <v>32680</v>
      </c>
    </row>
    <row r="8" spans="1:7" ht="15.6" x14ac:dyDescent="0.3">
      <c r="A8" s="25" t="s">
        <v>63</v>
      </c>
      <c r="B8" s="25"/>
      <c r="C8" s="25">
        <f>SUM(C5:C7)</f>
        <v>14171</v>
      </c>
      <c r="D8" s="61">
        <f>SUM(D5:D7)</f>
        <v>70937</v>
      </c>
      <c r="E8" s="25">
        <f>SUM(E5:E7)</f>
        <v>358</v>
      </c>
      <c r="F8" s="25"/>
      <c r="G8" s="25">
        <f>SUM(G5:G7)</f>
        <v>85466</v>
      </c>
    </row>
    <row r="10" spans="1:7" x14ac:dyDescent="0.3">
      <c r="A10" s="24" t="s">
        <v>116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>
        <v>0</v>
      </c>
      <c r="D12" s="43">
        <v>650</v>
      </c>
      <c r="G12">
        <f>SUM(C12:E12)</f>
        <v>650</v>
      </c>
    </row>
    <row r="13" spans="1:7" x14ac:dyDescent="0.3">
      <c r="A13" t="s">
        <v>53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54</v>
      </c>
      <c r="C14">
        <v>0</v>
      </c>
      <c r="D14" s="43">
        <v>613</v>
      </c>
      <c r="G14">
        <f>SUM(C14:E14)</f>
        <v>613</v>
      </c>
    </row>
    <row r="15" spans="1:7" ht="15.6" x14ac:dyDescent="0.3">
      <c r="A15" s="25" t="s">
        <v>55</v>
      </c>
      <c r="B15" s="25"/>
      <c r="C15" s="25">
        <f>SUM(C12:C14)</f>
        <v>0</v>
      </c>
      <c r="D15" s="25">
        <f>SUM(D12:D14)</f>
        <v>1263</v>
      </c>
      <c r="E15" s="25"/>
      <c r="F15" s="25"/>
      <c r="G15" s="25">
        <f>SUM(G12:G14)</f>
        <v>1263</v>
      </c>
    </row>
    <row r="17" spans="1:7" x14ac:dyDescent="0.3">
      <c r="A17" s="29" t="s">
        <v>117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113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0</v>
      </c>
      <c r="C19" s="43">
        <v>926</v>
      </c>
      <c r="D19" s="43">
        <v>49</v>
      </c>
      <c r="E19" s="43">
        <v>79</v>
      </c>
      <c r="F19" s="43">
        <v>0</v>
      </c>
      <c r="G19">
        <f>SUM(B19:F19)</f>
        <v>1054</v>
      </c>
    </row>
    <row r="20" spans="1:7" x14ac:dyDescent="0.3">
      <c r="A20" t="s">
        <v>36</v>
      </c>
      <c r="B20">
        <v>0</v>
      </c>
      <c r="C20" s="43">
        <v>0</v>
      </c>
      <c r="D20" s="43">
        <v>201</v>
      </c>
      <c r="E20" s="43">
        <v>0</v>
      </c>
      <c r="F20" s="43">
        <v>0</v>
      </c>
      <c r="G20">
        <f>SUM(C20:F20)</f>
        <v>201</v>
      </c>
    </row>
    <row r="21" spans="1:7" x14ac:dyDescent="0.3">
      <c r="A21" t="s">
        <v>37</v>
      </c>
      <c r="B21">
        <v>0</v>
      </c>
      <c r="C21" s="43">
        <v>606</v>
      </c>
      <c r="D21" s="43">
        <v>4</v>
      </c>
      <c r="E21" s="43">
        <v>86</v>
      </c>
      <c r="F21" s="43">
        <v>5</v>
      </c>
      <c r="G21">
        <f>SUM(B21:F21)</f>
        <v>701</v>
      </c>
    </row>
    <row r="22" spans="1:7" ht="15.6" x14ac:dyDescent="0.3">
      <c r="A22" t="s">
        <v>34</v>
      </c>
      <c r="C22" s="25">
        <f>SUM(C19:C21)</f>
        <v>1532</v>
      </c>
      <c r="D22" s="25">
        <f>SUM(D19:D21)</f>
        <v>254</v>
      </c>
      <c r="E22" s="25">
        <f>SUM(E19:E21)</f>
        <v>165</v>
      </c>
      <c r="F22" s="25">
        <f>SUM(F19:F21)</f>
        <v>5</v>
      </c>
      <c r="G22" s="25">
        <f>SUM(G19:G21)</f>
        <v>1956</v>
      </c>
    </row>
    <row r="24" spans="1:7" x14ac:dyDescent="0.3">
      <c r="A24" s="24" t="s">
        <v>118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11857</v>
      </c>
      <c r="D26" s="43">
        <v>38389</v>
      </c>
      <c r="E26">
        <v>358</v>
      </c>
      <c r="G26">
        <f>SUM(C26:F26)</f>
        <v>50604</v>
      </c>
    </row>
    <row r="27" spans="1:7" x14ac:dyDescent="0.3">
      <c r="A27" t="s">
        <v>36</v>
      </c>
      <c r="C27">
        <v>0</v>
      </c>
      <c r="D27">
        <v>1577</v>
      </c>
      <c r="E27">
        <v>0</v>
      </c>
      <c r="G27">
        <f>SUM(C27:F27)</f>
        <v>1577</v>
      </c>
    </row>
    <row r="28" spans="1:7" x14ac:dyDescent="0.3">
      <c r="A28" t="s">
        <v>37</v>
      </c>
      <c r="C28">
        <v>1570</v>
      </c>
      <c r="D28" s="43">
        <v>31022</v>
      </c>
      <c r="E28">
        <v>0</v>
      </c>
      <c r="G28">
        <f>SUM(C28:F28)</f>
        <v>32592</v>
      </c>
    </row>
    <row r="29" spans="1:7" ht="15.6" x14ac:dyDescent="0.3">
      <c r="A29" s="25" t="s">
        <v>63</v>
      </c>
      <c r="B29" s="25"/>
      <c r="C29" s="25">
        <f>SUM(C26:C28)</f>
        <v>13427</v>
      </c>
      <c r="D29" s="61">
        <f>SUM(D26:D28)</f>
        <v>70988</v>
      </c>
      <c r="E29" s="25">
        <f>SUM(E26:E28)</f>
        <v>358</v>
      </c>
      <c r="F29" s="25"/>
      <c r="G29" s="25">
        <f>SUM(G26:G28)</f>
        <v>84773</v>
      </c>
    </row>
    <row r="31" spans="1:7" ht="15.6" x14ac:dyDescent="0.3">
      <c r="A31" s="26" t="s">
        <v>129</v>
      </c>
      <c r="B31" s="26"/>
      <c r="C31" s="24"/>
      <c r="D31" s="24"/>
      <c r="E31" s="24"/>
      <c r="F31" s="24"/>
    </row>
    <row r="32" spans="1:7" x14ac:dyDescent="0.3">
      <c r="A32" t="s">
        <v>35</v>
      </c>
      <c r="F32">
        <f>G26-G5</f>
        <v>-404</v>
      </c>
    </row>
    <row r="33" spans="1:6" x14ac:dyDescent="0.3">
      <c r="A33" t="s">
        <v>36</v>
      </c>
      <c r="F33">
        <f>G27-G6</f>
        <v>-201</v>
      </c>
    </row>
    <row r="34" spans="1:6" x14ac:dyDescent="0.3">
      <c r="A34" t="s">
        <v>37</v>
      </c>
      <c r="F34">
        <f>G28-G7</f>
        <v>-88</v>
      </c>
    </row>
    <row r="35" spans="1:6" ht="15.6" x14ac:dyDescent="0.3">
      <c r="A35" s="25" t="s">
        <v>34</v>
      </c>
      <c r="B35" s="25"/>
      <c r="C35" s="25"/>
      <c r="D35" s="25"/>
      <c r="E35" s="25"/>
      <c r="F35" s="25">
        <f>SUM(F32:F34)</f>
        <v>-693</v>
      </c>
    </row>
    <row r="37" spans="1:6" x14ac:dyDescent="0.3">
      <c r="A37" t="s">
        <v>46</v>
      </c>
    </row>
    <row r="38" spans="1:6" x14ac:dyDescent="0.3">
      <c r="A38" t="s">
        <v>47</v>
      </c>
    </row>
    <row r="39" spans="1:6" x14ac:dyDescent="0.3">
      <c r="A39" t="s">
        <v>48</v>
      </c>
    </row>
    <row r="40" spans="1:6" x14ac:dyDescent="0.3">
      <c r="A40" t="s">
        <v>49</v>
      </c>
    </row>
    <row r="41" spans="1:6" x14ac:dyDescent="0.3">
      <c r="A41" t="s">
        <v>50</v>
      </c>
    </row>
    <row r="42" spans="1:6" x14ac:dyDescent="0.3">
      <c r="A42" t="s">
        <v>114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/>
  <dimension ref="A3:G42"/>
  <sheetViews>
    <sheetView topLeftCell="A16" workbookViewId="0"/>
  </sheetViews>
  <sheetFormatPr defaultRowHeight="14.4" x14ac:dyDescent="0.3"/>
  <sheetData>
    <row r="3" spans="1:7" x14ac:dyDescent="0.3">
      <c r="A3" s="24" t="s">
        <v>118</v>
      </c>
      <c r="B3" s="24"/>
      <c r="C3" s="24"/>
      <c r="D3" s="24"/>
      <c r="E3" s="24"/>
      <c r="F3" s="24"/>
    </row>
    <row r="4" spans="1:7" x14ac:dyDescent="0.3">
      <c r="C4" t="s">
        <v>32</v>
      </c>
      <c r="D4" t="s">
        <v>33</v>
      </c>
      <c r="E4" t="s">
        <v>87</v>
      </c>
      <c r="G4" t="s">
        <v>55</v>
      </c>
    </row>
    <row r="5" spans="1:7" x14ac:dyDescent="0.3">
      <c r="A5" t="s">
        <v>35</v>
      </c>
      <c r="C5">
        <v>11857</v>
      </c>
      <c r="D5" s="43">
        <v>38389</v>
      </c>
      <c r="E5">
        <v>358</v>
      </c>
      <c r="G5">
        <f>SUM(C5:F5)</f>
        <v>50604</v>
      </c>
    </row>
    <row r="6" spans="1:7" x14ac:dyDescent="0.3">
      <c r="A6" t="s">
        <v>36</v>
      </c>
      <c r="C6">
        <v>0</v>
      </c>
      <c r="D6">
        <v>1577</v>
      </c>
      <c r="E6">
        <v>0</v>
      </c>
      <c r="G6">
        <f>SUM(C6:F6)</f>
        <v>1577</v>
      </c>
    </row>
    <row r="7" spans="1:7" x14ac:dyDescent="0.3">
      <c r="A7" t="s">
        <v>37</v>
      </c>
      <c r="C7">
        <v>1570</v>
      </c>
      <c r="D7" s="43">
        <v>31022</v>
      </c>
      <c r="E7">
        <v>0</v>
      </c>
      <c r="G7">
        <f>SUM(C7:F7)</f>
        <v>32592</v>
      </c>
    </row>
    <row r="8" spans="1:7" ht="15.6" x14ac:dyDescent="0.3">
      <c r="A8" s="25" t="s">
        <v>63</v>
      </c>
      <c r="B8" s="25"/>
      <c r="C8" s="25">
        <f>SUM(C5:C7)</f>
        <v>13427</v>
      </c>
      <c r="D8" s="61">
        <f>SUM(D5:D7)</f>
        <v>70988</v>
      </c>
      <c r="E8" s="25">
        <f>SUM(E5:E7)</f>
        <v>358</v>
      </c>
      <c r="F8" s="25"/>
      <c r="G8" s="25">
        <f>SUM(G5:G7)</f>
        <v>84773</v>
      </c>
    </row>
    <row r="10" spans="1:7" x14ac:dyDescent="0.3">
      <c r="A10" s="24" t="s">
        <v>122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>
        <v>0</v>
      </c>
      <c r="D12" s="43">
        <v>2418</v>
      </c>
      <c r="G12">
        <f>SUM(C12:E12)</f>
        <v>2418</v>
      </c>
    </row>
    <row r="13" spans="1:7" x14ac:dyDescent="0.3">
      <c r="A13" t="s">
        <v>53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54</v>
      </c>
      <c r="D14" s="43">
        <v>1023</v>
      </c>
      <c r="G14">
        <f>SUM(C14:E14)</f>
        <v>1023</v>
      </c>
    </row>
    <row r="15" spans="1:7" ht="15.6" x14ac:dyDescent="0.3">
      <c r="A15" s="25" t="s">
        <v>55</v>
      </c>
      <c r="B15" s="25"/>
      <c r="C15" s="25">
        <f>SUM(C12:C14)</f>
        <v>0</v>
      </c>
      <c r="D15" s="25">
        <f>SUM(D12:D14)</f>
        <v>3441</v>
      </c>
      <c r="E15" s="25"/>
      <c r="F15" s="25"/>
      <c r="G15" s="25">
        <f>SUM(G12:G14)</f>
        <v>3441</v>
      </c>
    </row>
    <row r="17" spans="1:7" x14ac:dyDescent="0.3">
      <c r="A17" s="29" t="s">
        <v>123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113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0</v>
      </c>
      <c r="C19" s="43">
        <v>2631</v>
      </c>
      <c r="D19" s="43">
        <v>544</v>
      </c>
      <c r="E19" s="43">
        <v>119</v>
      </c>
      <c r="F19" s="43">
        <v>0</v>
      </c>
      <c r="G19">
        <f>SUM(B19:F19)</f>
        <v>3294</v>
      </c>
    </row>
    <row r="20" spans="1:7" x14ac:dyDescent="0.3">
      <c r="A20" t="s">
        <v>36</v>
      </c>
      <c r="B20">
        <v>0</v>
      </c>
      <c r="C20" s="43">
        <v>0</v>
      </c>
      <c r="D20" s="43">
        <v>274</v>
      </c>
      <c r="E20" s="43">
        <v>0</v>
      </c>
      <c r="F20" s="43">
        <v>0</v>
      </c>
      <c r="G20">
        <f>SUM(C20:F20)</f>
        <v>274</v>
      </c>
    </row>
    <row r="21" spans="1:7" x14ac:dyDescent="0.3">
      <c r="A21" t="s">
        <v>37</v>
      </c>
      <c r="B21">
        <v>0</v>
      </c>
      <c r="C21" s="43">
        <v>625</v>
      </c>
      <c r="D21" s="43">
        <v>34</v>
      </c>
      <c r="E21" s="43">
        <v>63</v>
      </c>
      <c r="F21" s="43">
        <v>6</v>
      </c>
      <c r="G21">
        <f>SUM(B21:F21)</f>
        <v>728</v>
      </c>
    </row>
    <row r="22" spans="1:7" ht="15.6" x14ac:dyDescent="0.3">
      <c r="A22" t="s">
        <v>34</v>
      </c>
      <c r="C22" s="25">
        <f>SUM(C19:C21)</f>
        <v>3256</v>
      </c>
      <c r="D22" s="25">
        <f>SUM(D19:D21)</f>
        <v>852</v>
      </c>
      <c r="E22" s="25">
        <f>SUM(E19:E21)</f>
        <v>182</v>
      </c>
      <c r="F22" s="25">
        <f>SUM(F19:F21)</f>
        <v>6</v>
      </c>
      <c r="G22" s="25">
        <f>SUM(G19:G21)</f>
        <v>4296</v>
      </c>
    </row>
    <row r="24" spans="1:7" x14ac:dyDescent="0.3">
      <c r="A24" s="24" t="s">
        <v>124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9017</v>
      </c>
      <c r="D26" s="43">
        <v>40353</v>
      </c>
      <c r="E26">
        <v>358</v>
      </c>
      <c r="G26">
        <f>SUM(C26:F26)</f>
        <v>49728</v>
      </c>
    </row>
    <row r="27" spans="1:7" x14ac:dyDescent="0.3">
      <c r="A27" t="s">
        <v>36</v>
      </c>
      <c r="C27">
        <v>0</v>
      </c>
      <c r="D27">
        <v>1303</v>
      </c>
      <c r="E27">
        <v>0</v>
      </c>
      <c r="G27">
        <f>SUM(C27:F27)</f>
        <v>1303</v>
      </c>
    </row>
    <row r="28" spans="1:7" x14ac:dyDescent="0.3">
      <c r="A28" t="s">
        <v>37</v>
      </c>
      <c r="C28">
        <v>1828</v>
      </c>
      <c r="D28" s="43">
        <v>31059</v>
      </c>
      <c r="E28">
        <v>0</v>
      </c>
      <c r="G28">
        <f>SUM(C28:F28)</f>
        <v>32887</v>
      </c>
    </row>
    <row r="29" spans="1:7" ht="15.6" x14ac:dyDescent="0.3">
      <c r="A29" s="25" t="s">
        <v>63</v>
      </c>
      <c r="B29" s="25"/>
      <c r="C29" s="25">
        <f>SUM(C26:C28)</f>
        <v>10845</v>
      </c>
      <c r="D29" s="61">
        <f>SUM(D26:D28)</f>
        <v>72715</v>
      </c>
      <c r="E29" s="25">
        <f>SUM(E26:E28)</f>
        <v>358</v>
      </c>
      <c r="F29" s="25"/>
      <c r="G29" s="25">
        <f>SUM(G26:G28)</f>
        <v>83918</v>
      </c>
    </row>
    <row r="31" spans="1:7" ht="15.6" x14ac:dyDescent="0.3">
      <c r="A31" s="26" t="s">
        <v>128</v>
      </c>
      <c r="B31" s="26"/>
      <c r="C31" s="24"/>
      <c r="D31" s="24"/>
      <c r="E31" s="24"/>
      <c r="F31" s="24"/>
    </row>
    <row r="32" spans="1:7" x14ac:dyDescent="0.3">
      <c r="A32" t="s">
        <v>35</v>
      </c>
      <c r="F32">
        <f>G26-G5</f>
        <v>-876</v>
      </c>
    </row>
    <row r="33" spans="1:6" x14ac:dyDescent="0.3">
      <c r="A33" t="s">
        <v>36</v>
      </c>
      <c r="F33">
        <f>G27-G6</f>
        <v>-274</v>
      </c>
    </row>
    <row r="34" spans="1:6" x14ac:dyDescent="0.3">
      <c r="A34" t="s">
        <v>37</v>
      </c>
      <c r="F34">
        <f>G28-G7</f>
        <v>295</v>
      </c>
    </row>
    <row r="35" spans="1:6" ht="15.6" x14ac:dyDescent="0.3">
      <c r="A35" s="25" t="s">
        <v>34</v>
      </c>
      <c r="B35" s="25"/>
      <c r="C35" s="25"/>
      <c r="D35" s="25"/>
      <c r="E35" s="25"/>
      <c r="F35" s="25">
        <f>SUM(F32:F34)</f>
        <v>-855</v>
      </c>
    </row>
    <row r="37" spans="1:6" x14ac:dyDescent="0.3">
      <c r="A37" t="s">
        <v>46</v>
      </c>
    </row>
    <row r="38" spans="1:6" x14ac:dyDescent="0.3">
      <c r="A38" t="s">
        <v>47</v>
      </c>
    </row>
    <row r="39" spans="1:6" x14ac:dyDescent="0.3">
      <c r="A39" t="s">
        <v>48</v>
      </c>
    </row>
    <row r="40" spans="1:6" x14ac:dyDescent="0.3">
      <c r="A40" t="s">
        <v>49</v>
      </c>
    </row>
    <row r="41" spans="1:6" x14ac:dyDescent="0.3">
      <c r="A41" t="s">
        <v>50</v>
      </c>
    </row>
    <row r="42" spans="1:6" x14ac:dyDescent="0.3">
      <c r="A42" t="s">
        <v>114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7"/>
  <dimension ref="A3:G42"/>
  <sheetViews>
    <sheetView workbookViewId="0"/>
  </sheetViews>
  <sheetFormatPr defaultRowHeight="14.4" x14ac:dyDescent="0.3"/>
  <sheetData>
    <row r="3" spans="1:7" x14ac:dyDescent="0.3">
      <c r="A3" s="24" t="s">
        <v>124</v>
      </c>
      <c r="B3" s="24"/>
      <c r="C3" s="24"/>
      <c r="D3" s="24"/>
      <c r="E3" s="24"/>
      <c r="F3" s="24"/>
    </row>
    <row r="4" spans="1:7" x14ac:dyDescent="0.3">
      <c r="C4" t="s">
        <v>32</v>
      </c>
      <c r="D4" t="s">
        <v>33</v>
      </c>
      <c r="E4" t="s">
        <v>87</v>
      </c>
      <c r="G4" t="s">
        <v>55</v>
      </c>
    </row>
    <row r="5" spans="1:7" x14ac:dyDescent="0.3">
      <c r="A5" t="s">
        <v>35</v>
      </c>
      <c r="C5">
        <v>9017</v>
      </c>
      <c r="D5" s="43">
        <v>40353</v>
      </c>
      <c r="E5">
        <v>358</v>
      </c>
      <c r="G5">
        <f>SUM(C5:F5)</f>
        <v>49728</v>
      </c>
    </row>
    <row r="6" spans="1:7" x14ac:dyDescent="0.3">
      <c r="A6" t="s">
        <v>36</v>
      </c>
      <c r="C6">
        <v>0</v>
      </c>
      <c r="D6">
        <v>1303</v>
      </c>
      <c r="E6">
        <v>0</v>
      </c>
      <c r="G6">
        <f>SUM(C6:F6)</f>
        <v>1303</v>
      </c>
    </row>
    <row r="7" spans="1:7" x14ac:dyDescent="0.3">
      <c r="A7" t="s">
        <v>37</v>
      </c>
      <c r="C7">
        <v>1828</v>
      </c>
      <c r="D7" s="43">
        <v>31059</v>
      </c>
      <c r="E7">
        <v>0</v>
      </c>
      <c r="G7">
        <f>SUM(C7:F7)</f>
        <v>32887</v>
      </c>
    </row>
    <row r="8" spans="1:7" ht="15.6" x14ac:dyDescent="0.3">
      <c r="A8" s="25" t="s">
        <v>63</v>
      </c>
      <c r="B8" s="25"/>
      <c r="C8" s="25">
        <f>SUM(C5:C7)</f>
        <v>10845</v>
      </c>
      <c r="D8" s="61">
        <f>SUM(D5:D7)</f>
        <v>72715</v>
      </c>
      <c r="E8" s="25">
        <f>SUM(E5:E7)</f>
        <v>358</v>
      </c>
      <c r="F8" s="25"/>
      <c r="G8" s="25">
        <f>SUM(G5:G7)</f>
        <v>83918</v>
      </c>
    </row>
    <row r="10" spans="1:7" x14ac:dyDescent="0.3">
      <c r="A10" s="24" t="s">
        <v>125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>
        <v>0</v>
      </c>
      <c r="D12" s="43">
        <v>1575</v>
      </c>
      <c r="G12">
        <f>SUM(C12:E12)</f>
        <v>1575</v>
      </c>
    </row>
    <row r="13" spans="1:7" x14ac:dyDescent="0.3">
      <c r="A13" t="s">
        <v>53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54</v>
      </c>
      <c r="D14" s="43">
        <v>1829</v>
      </c>
      <c r="G14">
        <f>SUM(C14:E14)</f>
        <v>1829</v>
      </c>
    </row>
    <row r="15" spans="1:7" ht="15.6" x14ac:dyDescent="0.3">
      <c r="A15" s="25" t="s">
        <v>55</v>
      </c>
      <c r="B15" s="25"/>
      <c r="C15" s="25">
        <f>SUM(C12:C14)</f>
        <v>0</v>
      </c>
      <c r="D15" s="25">
        <f>SUM(D12:D14)</f>
        <v>3404</v>
      </c>
      <c r="E15" s="25"/>
      <c r="F15" s="25"/>
      <c r="G15" s="25">
        <f>SUM(G12:G14)</f>
        <v>3404</v>
      </c>
    </row>
    <row r="17" spans="1:7" x14ac:dyDescent="0.3">
      <c r="A17" s="29" t="s">
        <v>130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113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0</v>
      </c>
      <c r="C19" s="43">
        <v>2097</v>
      </c>
      <c r="D19" s="43">
        <v>0</v>
      </c>
      <c r="E19" s="43">
        <v>477</v>
      </c>
      <c r="F19" s="43">
        <v>1</v>
      </c>
      <c r="G19">
        <f>SUM(B19:F19)</f>
        <v>2575</v>
      </c>
    </row>
    <row r="20" spans="1:7" x14ac:dyDescent="0.3">
      <c r="A20" t="s">
        <v>36</v>
      </c>
      <c r="B20">
        <v>0</v>
      </c>
      <c r="C20" s="43">
        <v>0</v>
      </c>
      <c r="D20" s="43">
        <v>228</v>
      </c>
      <c r="E20" s="43">
        <v>0</v>
      </c>
      <c r="F20" s="43">
        <v>0</v>
      </c>
      <c r="G20">
        <f>SUM(C20:F20)</f>
        <v>228</v>
      </c>
    </row>
    <row r="21" spans="1:7" x14ac:dyDescent="0.3">
      <c r="A21" t="s">
        <v>37</v>
      </c>
      <c r="B21">
        <v>0</v>
      </c>
      <c r="C21" s="43">
        <v>875</v>
      </c>
      <c r="D21" s="43">
        <v>0</v>
      </c>
      <c r="E21" s="43">
        <v>107</v>
      </c>
      <c r="F21" s="43">
        <v>8</v>
      </c>
      <c r="G21">
        <f>SUM(B21:F21)</f>
        <v>990</v>
      </c>
    </row>
    <row r="22" spans="1:7" ht="15.6" x14ac:dyDescent="0.3">
      <c r="A22" t="s">
        <v>34</v>
      </c>
      <c r="C22" s="25">
        <f>SUM(C19:C21)</f>
        <v>2972</v>
      </c>
      <c r="D22" s="25">
        <f>SUM(D19:D21)</f>
        <v>228</v>
      </c>
      <c r="E22" s="25">
        <f>SUM(E19:E21)</f>
        <v>584</v>
      </c>
      <c r="F22" s="25">
        <f>SUM(F19:F21)</f>
        <v>9</v>
      </c>
      <c r="G22" s="25">
        <f>SUM(G19:G21)</f>
        <v>3793</v>
      </c>
    </row>
    <row r="24" spans="1:7" x14ac:dyDescent="0.3">
      <c r="A24" s="24" t="s">
        <v>126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7316</v>
      </c>
      <c r="D26" s="43">
        <v>41054</v>
      </c>
      <c r="E26">
        <v>358</v>
      </c>
      <c r="G26">
        <f>SUM(C26:F26)</f>
        <v>48728</v>
      </c>
    </row>
    <row r="27" spans="1:7" x14ac:dyDescent="0.3">
      <c r="A27" t="s">
        <v>36</v>
      </c>
      <c r="C27">
        <v>0</v>
      </c>
      <c r="D27">
        <v>1075</v>
      </c>
      <c r="E27">
        <v>0</v>
      </c>
      <c r="G27">
        <f>SUM(C27:F27)</f>
        <v>1075</v>
      </c>
    </row>
    <row r="28" spans="1:7" x14ac:dyDescent="0.3">
      <c r="A28" t="s">
        <v>37</v>
      </c>
      <c r="C28">
        <v>1818</v>
      </c>
      <c r="D28" s="43">
        <v>31908</v>
      </c>
      <c r="E28">
        <v>0</v>
      </c>
      <c r="G28">
        <f>SUM(C28:F28)</f>
        <v>33726</v>
      </c>
    </row>
    <row r="29" spans="1:7" ht="15.6" x14ac:dyDescent="0.3">
      <c r="A29" s="25" t="s">
        <v>63</v>
      </c>
      <c r="B29" s="25"/>
      <c r="C29" s="25">
        <f>SUM(C26:C28)</f>
        <v>9134</v>
      </c>
      <c r="D29" s="61">
        <f>SUM(D26:D28)</f>
        <v>74037</v>
      </c>
      <c r="E29" s="25">
        <f>SUM(E26:E28)</f>
        <v>358</v>
      </c>
      <c r="F29" s="25"/>
      <c r="G29" s="25">
        <f>SUM(G26:G28)</f>
        <v>83529</v>
      </c>
    </row>
    <row r="31" spans="1:7" ht="15.6" x14ac:dyDescent="0.3">
      <c r="A31" s="26" t="s">
        <v>127</v>
      </c>
      <c r="B31" s="26"/>
      <c r="C31" s="24"/>
      <c r="D31" s="24"/>
      <c r="E31" s="24"/>
      <c r="F31" s="24"/>
    </row>
    <row r="32" spans="1:7" x14ac:dyDescent="0.3">
      <c r="A32" t="s">
        <v>35</v>
      </c>
      <c r="F32">
        <f>G26-G5</f>
        <v>-1000</v>
      </c>
    </row>
    <row r="33" spans="1:6" x14ac:dyDescent="0.3">
      <c r="A33" t="s">
        <v>36</v>
      </c>
      <c r="F33">
        <f>G27-G6</f>
        <v>-228</v>
      </c>
    </row>
    <row r="34" spans="1:6" x14ac:dyDescent="0.3">
      <c r="A34" t="s">
        <v>37</v>
      </c>
      <c r="F34">
        <f>G28-G7</f>
        <v>839</v>
      </c>
    </row>
    <row r="35" spans="1:6" ht="15.6" x14ac:dyDescent="0.3">
      <c r="A35" s="25" t="s">
        <v>34</v>
      </c>
      <c r="B35" s="25"/>
      <c r="C35" s="25"/>
      <c r="D35" s="25"/>
      <c r="E35" s="25"/>
      <c r="F35" s="25">
        <f>SUM(F32:F34)</f>
        <v>-389</v>
      </c>
    </row>
    <row r="37" spans="1:6" x14ac:dyDescent="0.3">
      <c r="A37" t="s">
        <v>46</v>
      </c>
    </row>
    <row r="38" spans="1:6" x14ac:dyDescent="0.3">
      <c r="A38" t="s">
        <v>47</v>
      </c>
    </row>
    <row r="39" spans="1:6" x14ac:dyDescent="0.3">
      <c r="A39" t="s">
        <v>48</v>
      </c>
    </row>
    <row r="40" spans="1:6" x14ac:dyDescent="0.3">
      <c r="A40" t="s">
        <v>49</v>
      </c>
    </row>
    <row r="41" spans="1:6" x14ac:dyDescent="0.3">
      <c r="A41" t="s">
        <v>50</v>
      </c>
    </row>
    <row r="42" spans="1:6" x14ac:dyDescent="0.3">
      <c r="A42" t="s">
        <v>114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8"/>
  <dimension ref="A3:G42"/>
  <sheetViews>
    <sheetView topLeftCell="A16" workbookViewId="0"/>
  </sheetViews>
  <sheetFormatPr defaultRowHeight="14.4" x14ac:dyDescent="0.3"/>
  <sheetData>
    <row r="3" spans="1:7" x14ac:dyDescent="0.3">
      <c r="A3" s="24" t="s">
        <v>135</v>
      </c>
      <c r="B3" s="24"/>
      <c r="C3" s="24"/>
      <c r="D3" s="24"/>
      <c r="E3" s="24"/>
      <c r="F3" s="24"/>
    </row>
    <row r="4" spans="1:7" x14ac:dyDescent="0.3">
      <c r="C4" t="s">
        <v>32</v>
      </c>
      <c r="D4" t="s">
        <v>33</v>
      </c>
      <c r="E4" t="s">
        <v>87</v>
      </c>
      <c r="G4" t="s">
        <v>55</v>
      </c>
    </row>
    <row r="5" spans="1:7" x14ac:dyDescent="0.3">
      <c r="A5" t="s">
        <v>35</v>
      </c>
      <c r="C5">
        <v>7316</v>
      </c>
      <c r="D5" s="43">
        <v>41054</v>
      </c>
      <c r="E5">
        <v>358</v>
      </c>
      <c r="G5">
        <f>SUM(C5:F5)</f>
        <v>48728</v>
      </c>
    </row>
    <row r="6" spans="1:7" x14ac:dyDescent="0.3">
      <c r="A6" t="s">
        <v>36</v>
      </c>
      <c r="C6">
        <v>0</v>
      </c>
      <c r="D6">
        <v>1075</v>
      </c>
      <c r="E6">
        <v>0</v>
      </c>
      <c r="G6">
        <f>SUM(C6:F6)</f>
        <v>1075</v>
      </c>
    </row>
    <row r="7" spans="1:7" x14ac:dyDescent="0.3">
      <c r="A7" t="s">
        <v>37</v>
      </c>
      <c r="C7">
        <v>1818</v>
      </c>
      <c r="D7" s="43">
        <v>31908</v>
      </c>
      <c r="E7">
        <v>0</v>
      </c>
      <c r="G7">
        <f>SUM(C7:F7)</f>
        <v>33726</v>
      </c>
    </row>
    <row r="8" spans="1:7" ht="15.6" x14ac:dyDescent="0.3">
      <c r="A8" s="25" t="s">
        <v>63</v>
      </c>
      <c r="B8" s="25"/>
      <c r="C8" s="25">
        <f>SUM(C5:C7)</f>
        <v>9134</v>
      </c>
      <c r="D8" s="61">
        <f>SUM(D5:D7)</f>
        <v>74037</v>
      </c>
      <c r="E8" s="25">
        <f>SUM(E5:E7)</f>
        <v>358</v>
      </c>
      <c r="F8" s="25"/>
      <c r="G8" s="25">
        <f>SUM(G5:G7)</f>
        <v>83529</v>
      </c>
    </row>
    <row r="10" spans="1:7" x14ac:dyDescent="0.3">
      <c r="A10" s="24" t="s">
        <v>131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>
        <v>0</v>
      </c>
      <c r="D12" s="43">
        <v>1342</v>
      </c>
      <c r="G12">
        <f>SUM(C12:E12)</f>
        <v>1342</v>
      </c>
    </row>
    <row r="13" spans="1:7" x14ac:dyDescent="0.3">
      <c r="A13" t="s">
        <v>53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54</v>
      </c>
      <c r="D14" s="43">
        <v>913</v>
      </c>
      <c r="G14">
        <f>SUM(C14:E14)</f>
        <v>913</v>
      </c>
    </row>
    <row r="15" spans="1:7" ht="15.6" x14ac:dyDescent="0.3">
      <c r="A15" s="25" t="s">
        <v>55</v>
      </c>
      <c r="B15" s="25"/>
      <c r="C15" s="25">
        <f>SUM(C12:C14)</f>
        <v>0</v>
      </c>
      <c r="D15" s="25">
        <f>SUM(D12:D14)</f>
        <v>2255</v>
      </c>
      <c r="E15" s="25"/>
      <c r="F15" s="25"/>
      <c r="G15" s="25">
        <f>SUM(G12:G14)</f>
        <v>2255</v>
      </c>
    </row>
    <row r="17" spans="1:7" x14ac:dyDescent="0.3">
      <c r="A17" s="29" t="s">
        <v>132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113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0</v>
      </c>
      <c r="C19" s="43">
        <v>1504</v>
      </c>
      <c r="D19" s="43">
        <v>0</v>
      </c>
      <c r="E19" s="43">
        <v>105</v>
      </c>
      <c r="F19" s="43">
        <v>10</v>
      </c>
      <c r="G19">
        <f>SUM(B19:F19)</f>
        <v>1619</v>
      </c>
    </row>
    <row r="20" spans="1:7" x14ac:dyDescent="0.3">
      <c r="A20" t="s">
        <v>36</v>
      </c>
      <c r="B20">
        <v>0</v>
      </c>
      <c r="C20" s="43">
        <v>0</v>
      </c>
      <c r="D20" s="43">
        <v>202</v>
      </c>
      <c r="E20" s="43">
        <v>0</v>
      </c>
      <c r="F20" s="43">
        <v>0</v>
      </c>
      <c r="G20">
        <f>SUM(C20:F20)</f>
        <v>202</v>
      </c>
    </row>
    <row r="21" spans="1:7" x14ac:dyDescent="0.3">
      <c r="A21" t="s">
        <v>37</v>
      </c>
      <c r="B21">
        <v>0</v>
      </c>
      <c r="C21" s="43">
        <v>847</v>
      </c>
      <c r="D21" s="43">
        <v>0</v>
      </c>
      <c r="E21" s="43">
        <v>76</v>
      </c>
      <c r="F21" s="43">
        <v>3</v>
      </c>
      <c r="G21">
        <f>SUM(B21:F21)</f>
        <v>926</v>
      </c>
    </row>
    <row r="22" spans="1:7" ht="15.6" x14ac:dyDescent="0.3">
      <c r="A22" t="s">
        <v>34</v>
      </c>
      <c r="C22" s="25">
        <f>SUM(C19:C21)</f>
        <v>2351</v>
      </c>
      <c r="D22" s="25">
        <f>SUM(D19:D21)</f>
        <v>202</v>
      </c>
      <c r="E22" s="25">
        <f>SUM(E19:E21)</f>
        <v>181</v>
      </c>
      <c r="F22" s="25">
        <f>SUM(F19:F21)</f>
        <v>13</v>
      </c>
      <c r="G22" s="25">
        <f>SUM(G19:G21)</f>
        <v>2747</v>
      </c>
    </row>
    <row r="24" spans="1:7" x14ac:dyDescent="0.3">
      <c r="A24" s="24" t="s">
        <v>133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6515</v>
      </c>
      <c r="D26" s="43">
        <v>41578</v>
      </c>
      <c r="E26">
        <v>358</v>
      </c>
      <c r="G26">
        <f>SUM(C26:F26)</f>
        <v>48451</v>
      </c>
    </row>
    <row r="27" spans="1:7" x14ac:dyDescent="0.3">
      <c r="A27" t="s">
        <v>36</v>
      </c>
      <c r="C27">
        <v>0</v>
      </c>
      <c r="D27">
        <v>873</v>
      </c>
      <c r="E27">
        <v>0</v>
      </c>
      <c r="G27">
        <f>SUM(C27:F27)</f>
        <v>873</v>
      </c>
    </row>
    <row r="28" spans="1:7" x14ac:dyDescent="0.3">
      <c r="A28" t="s">
        <v>37</v>
      </c>
      <c r="C28">
        <v>1633</v>
      </c>
      <c r="D28" s="43">
        <v>32080</v>
      </c>
      <c r="E28">
        <v>0</v>
      </c>
      <c r="G28">
        <f>SUM(C28:F28)</f>
        <v>33713</v>
      </c>
    </row>
    <row r="29" spans="1:7" ht="15.6" x14ac:dyDescent="0.3">
      <c r="A29" s="25" t="s">
        <v>63</v>
      </c>
      <c r="B29" s="25"/>
      <c r="C29" s="25">
        <f>SUM(C26:C28)</f>
        <v>8148</v>
      </c>
      <c r="D29" s="61">
        <f>SUM(D26:D28)</f>
        <v>74531</v>
      </c>
      <c r="E29" s="25">
        <f>SUM(E26:E28)</f>
        <v>358</v>
      </c>
      <c r="F29" s="25"/>
      <c r="G29" s="25">
        <f>SUM(G26:G28)</f>
        <v>83037</v>
      </c>
    </row>
    <row r="31" spans="1:7" ht="15.6" x14ac:dyDescent="0.3">
      <c r="A31" s="26" t="s">
        <v>134</v>
      </c>
      <c r="B31" s="26"/>
      <c r="C31" s="24"/>
      <c r="D31" s="24"/>
      <c r="E31" s="24"/>
      <c r="F31" s="24"/>
    </row>
    <row r="32" spans="1:7" x14ac:dyDescent="0.3">
      <c r="A32" t="s">
        <v>35</v>
      </c>
      <c r="F32">
        <f>G26-G5</f>
        <v>-277</v>
      </c>
    </row>
    <row r="33" spans="1:6" x14ac:dyDescent="0.3">
      <c r="A33" t="s">
        <v>36</v>
      </c>
      <c r="F33">
        <f>G27-G6</f>
        <v>-202</v>
      </c>
    </row>
    <row r="34" spans="1:6" x14ac:dyDescent="0.3">
      <c r="A34" t="s">
        <v>37</v>
      </c>
      <c r="F34">
        <f>G28-G7</f>
        <v>-13</v>
      </c>
    </row>
    <row r="35" spans="1:6" ht="15.6" x14ac:dyDescent="0.3">
      <c r="A35" s="25" t="s">
        <v>34</v>
      </c>
      <c r="B35" s="25"/>
      <c r="C35" s="25"/>
      <c r="D35" s="25"/>
      <c r="E35" s="25"/>
      <c r="F35" s="25">
        <f>SUM(F32:F34)</f>
        <v>-492</v>
      </c>
    </row>
    <row r="37" spans="1:6" x14ac:dyDescent="0.3">
      <c r="A37" t="s">
        <v>46</v>
      </c>
    </row>
    <row r="38" spans="1:6" x14ac:dyDescent="0.3">
      <c r="A38" t="s">
        <v>47</v>
      </c>
    </row>
    <row r="39" spans="1:6" x14ac:dyDescent="0.3">
      <c r="A39" t="s">
        <v>48</v>
      </c>
    </row>
    <row r="40" spans="1:6" x14ac:dyDescent="0.3">
      <c r="A40" t="s">
        <v>49</v>
      </c>
    </row>
    <row r="41" spans="1:6" x14ac:dyDescent="0.3">
      <c r="A41" t="s">
        <v>50</v>
      </c>
    </row>
    <row r="42" spans="1:6" x14ac:dyDescent="0.3">
      <c r="A42" t="s">
        <v>114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9"/>
  <dimension ref="A3:G44"/>
  <sheetViews>
    <sheetView topLeftCell="A16" workbookViewId="0"/>
  </sheetViews>
  <sheetFormatPr defaultRowHeight="14.4" x14ac:dyDescent="0.3"/>
  <sheetData>
    <row r="3" spans="1:7" x14ac:dyDescent="0.3">
      <c r="A3" s="24" t="s">
        <v>136</v>
      </c>
      <c r="B3" s="24"/>
      <c r="C3" s="24"/>
      <c r="D3" s="24"/>
      <c r="E3" s="24"/>
      <c r="F3" s="24"/>
    </row>
    <row r="4" spans="1:7" x14ac:dyDescent="0.3">
      <c r="C4" t="s">
        <v>32</v>
      </c>
      <c r="D4" t="s">
        <v>33</v>
      </c>
      <c r="E4" t="s">
        <v>87</v>
      </c>
      <c r="G4" t="s">
        <v>55</v>
      </c>
    </row>
    <row r="5" spans="1:7" x14ac:dyDescent="0.3">
      <c r="A5" t="s">
        <v>35</v>
      </c>
      <c r="C5">
        <v>6515</v>
      </c>
      <c r="D5" s="43">
        <v>41578</v>
      </c>
      <c r="E5">
        <v>358</v>
      </c>
      <c r="G5">
        <v>48451</v>
      </c>
    </row>
    <row r="6" spans="1:7" x14ac:dyDescent="0.3">
      <c r="A6" t="s">
        <v>36</v>
      </c>
      <c r="C6">
        <v>0</v>
      </c>
      <c r="D6">
        <v>873</v>
      </c>
      <c r="E6">
        <v>0</v>
      </c>
      <c r="G6">
        <v>873</v>
      </c>
    </row>
    <row r="7" spans="1:7" x14ac:dyDescent="0.3">
      <c r="A7" t="s">
        <v>37</v>
      </c>
      <c r="C7">
        <v>1633</v>
      </c>
      <c r="D7" s="43">
        <v>32080</v>
      </c>
      <c r="E7">
        <v>0</v>
      </c>
      <c r="G7">
        <v>33713</v>
      </c>
    </row>
    <row r="8" spans="1:7" ht="15.6" x14ac:dyDescent="0.3">
      <c r="A8" s="25" t="s">
        <v>63</v>
      </c>
      <c r="B8" s="25"/>
      <c r="C8" s="25">
        <v>8148</v>
      </c>
      <c r="D8" s="61">
        <v>74531</v>
      </c>
      <c r="E8" s="25">
        <v>358</v>
      </c>
      <c r="F8" s="25"/>
      <c r="G8" s="25">
        <v>83037</v>
      </c>
    </row>
    <row r="10" spans="1:7" x14ac:dyDescent="0.3">
      <c r="A10" s="24" t="s">
        <v>137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>
        <v>0</v>
      </c>
      <c r="D12" s="43">
        <v>2530</v>
      </c>
      <c r="G12">
        <f>SUM(C12:E12)</f>
        <v>2530</v>
      </c>
    </row>
    <row r="13" spans="1:7" x14ac:dyDescent="0.3">
      <c r="A13" t="s">
        <v>53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140</v>
      </c>
      <c r="D14" s="43">
        <v>1</v>
      </c>
      <c r="G14">
        <f>SUM(C14:E14)</f>
        <v>1</v>
      </c>
    </row>
    <row r="15" spans="1:7" x14ac:dyDescent="0.3">
      <c r="A15" t="s">
        <v>54</v>
      </c>
      <c r="D15" s="43">
        <v>843</v>
      </c>
      <c r="G15">
        <f>SUM(C15:E15)</f>
        <v>843</v>
      </c>
    </row>
    <row r="16" spans="1:7" ht="15.6" x14ac:dyDescent="0.3">
      <c r="A16" s="25" t="s">
        <v>55</v>
      </c>
      <c r="B16" s="25"/>
      <c r="C16" s="25">
        <f>SUM(C12:C15)</f>
        <v>0</v>
      </c>
      <c r="D16" s="25">
        <f>SUM(D12:D15)</f>
        <v>3374</v>
      </c>
      <c r="E16" s="25"/>
      <c r="F16" s="25"/>
      <c r="G16" s="25">
        <f>SUM(G12:G15)</f>
        <v>3374</v>
      </c>
    </row>
    <row r="18" spans="1:7" x14ac:dyDescent="0.3">
      <c r="A18" s="29" t="s">
        <v>138</v>
      </c>
      <c r="B18" s="29"/>
      <c r="C18" s="29"/>
      <c r="D18" s="29"/>
      <c r="E18" s="29"/>
      <c r="F18" s="29"/>
      <c r="G18" s="29"/>
    </row>
    <row r="19" spans="1:7" x14ac:dyDescent="0.3">
      <c r="A19" t="s">
        <v>39</v>
      </c>
      <c r="B19" t="s">
        <v>113</v>
      </c>
      <c r="C19" t="s">
        <v>41</v>
      </c>
      <c r="D19" t="s">
        <v>42</v>
      </c>
      <c r="E19" t="s">
        <v>43</v>
      </c>
      <c r="F19" t="s">
        <v>58</v>
      </c>
      <c r="G19" t="s">
        <v>34</v>
      </c>
    </row>
    <row r="20" spans="1:7" x14ac:dyDescent="0.3">
      <c r="A20" t="s">
        <v>35</v>
      </c>
      <c r="B20">
        <v>0</v>
      </c>
      <c r="C20" s="43">
        <v>2184</v>
      </c>
      <c r="D20" s="43">
        <v>247</v>
      </c>
      <c r="E20" s="43">
        <v>79</v>
      </c>
      <c r="F20" s="43">
        <v>1</v>
      </c>
      <c r="G20">
        <f>SUM(B20:F20)</f>
        <v>2511</v>
      </c>
    </row>
    <row r="21" spans="1:7" x14ac:dyDescent="0.3">
      <c r="A21" t="s">
        <v>36</v>
      </c>
      <c r="B21">
        <v>0</v>
      </c>
      <c r="C21" s="43">
        <v>0</v>
      </c>
      <c r="D21" s="43">
        <v>247</v>
      </c>
      <c r="E21" s="43">
        <v>0</v>
      </c>
      <c r="F21" s="43">
        <v>0</v>
      </c>
      <c r="G21">
        <f>SUM(C21:F21)</f>
        <v>247</v>
      </c>
    </row>
    <row r="22" spans="1:7" x14ac:dyDescent="0.3">
      <c r="A22" t="s">
        <v>37</v>
      </c>
      <c r="B22">
        <v>0</v>
      </c>
      <c r="C22" s="43">
        <v>628</v>
      </c>
      <c r="D22" s="43">
        <v>0</v>
      </c>
      <c r="E22" s="43">
        <v>74</v>
      </c>
      <c r="F22" s="43">
        <v>3</v>
      </c>
      <c r="G22">
        <f>SUM(B22:F22)</f>
        <v>705</v>
      </c>
    </row>
    <row r="23" spans="1:7" ht="15.6" x14ac:dyDescent="0.3">
      <c r="A23" t="s">
        <v>34</v>
      </c>
      <c r="C23" s="25">
        <f>SUM(C20:C22)</f>
        <v>2812</v>
      </c>
      <c r="D23" s="25">
        <f>SUM(D20:D22)</f>
        <v>494</v>
      </c>
      <c r="E23" s="25">
        <f>SUM(E20:E22)</f>
        <v>153</v>
      </c>
      <c r="F23" s="25">
        <f>SUM(F20:F22)</f>
        <v>4</v>
      </c>
      <c r="G23" s="25">
        <f>SUM(G20:G22)</f>
        <v>3463</v>
      </c>
    </row>
    <row r="25" spans="1:7" x14ac:dyDescent="0.3">
      <c r="A25" s="24" t="s">
        <v>139</v>
      </c>
      <c r="B25" s="24"/>
      <c r="C25" s="24"/>
      <c r="D25" s="24"/>
      <c r="E25" s="24"/>
      <c r="F25" s="24"/>
    </row>
    <row r="26" spans="1:7" x14ac:dyDescent="0.3">
      <c r="C26" t="s">
        <v>32</v>
      </c>
      <c r="D26" t="s">
        <v>33</v>
      </c>
      <c r="E26" t="s">
        <v>87</v>
      </c>
      <c r="G26" t="s">
        <v>55</v>
      </c>
    </row>
    <row r="27" spans="1:7" x14ac:dyDescent="0.3">
      <c r="A27" t="s">
        <v>35</v>
      </c>
      <c r="C27">
        <v>5292</v>
      </c>
      <c r="D27" s="43">
        <v>42821</v>
      </c>
      <c r="E27">
        <v>357</v>
      </c>
      <c r="G27">
        <f>SUM(C27:F27)</f>
        <v>48470</v>
      </c>
    </row>
    <row r="28" spans="1:7" x14ac:dyDescent="0.3">
      <c r="A28" t="s">
        <v>36</v>
      </c>
      <c r="C28">
        <v>0</v>
      </c>
      <c r="D28">
        <v>626</v>
      </c>
      <c r="E28">
        <v>0</v>
      </c>
      <c r="G28">
        <f>SUM(C28:F28)</f>
        <v>626</v>
      </c>
    </row>
    <row r="29" spans="1:7" x14ac:dyDescent="0.3">
      <c r="A29" t="s">
        <v>141</v>
      </c>
      <c r="C29">
        <v>0</v>
      </c>
      <c r="D29">
        <v>1</v>
      </c>
      <c r="E29">
        <v>0</v>
      </c>
      <c r="G29">
        <f>SUM(C29:F29)</f>
        <v>1</v>
      </c>
    </row>
    <row r="30" spans="1:7" x14ac:dyDescent="0.3">
      <c r="A30" t="s">
        <v>37</v>
      </c>
      <c r="C30">
        <v>1765</v>
      </c>
      <c r="D30" s="43">
        <v>32086</v>
      </c>
      <c r="E30">
        <v>0</v>
      </c>
      <c r="G30">
        <f>SUM(C30:F30)</f>
        <v>33851</v>
      </c>
    </row>
    <row r="31" spans="1:7" ht="15.6" x14ac:dyDescent="0.3">
      <c r="A31" s="25" t="s">
        <v>63</v>
      </c>
      <c r="B31" s="25"/>
      <c r="C31" s="25">
        <f>SUM(C27:C30)</f>
        <v>7057</v>
      </c>
      <c r="D31" s="61">
        <f>SUM(D27:D30)</f>
        <v>75534</v>
      </c>
      <c r="E31" s="25">
        <f>SUM(E27:E30)</f>
        <v>357</v>
      </c>
      <c r="F31" s="25"/>
      <c r="G31" s="25">
        <f>SUM(G27:G30)</f>
        <v>82948</v>
      </c>
    </row>
    <row r="33" spans="1:6" ht="15.6" x14ac:dyDescent="0.3">
      <c r="A33" s="26" t="s">
        <v>156</v>
      </c>
      <c r="B33" s="26"/>
      <c r="C33" s="24"/>
      <c r="D33" s="24"/>
      <c r="E33" s="24"/>
      <c r="F33" s="24"/>
    </row>
    <row r="34" spans="1:6" x14ac:dyDescent="0.3">
      <c r="A34" t="s">
        <v>35</v>
      </c>
      <c r="F34">
        <f>G27-G5</f>
        <v>19</v>
      </c>
    </row>
    <row r="35" spans="1:6" x14ac:dyDescent="0.3">
      <c r="A35" t="s">
        <v>36</v>
      </c>
      <c r="F35">
        <f>G28-G6</f>
        <v>-247</v>
      </c>
    </row>
    <row r="36" spans="1:6" x14ac:dyDescent="0.3">
      <c r="A36" t="s">
        <v>37</v>
      </c>
      <c r="F36">
        <f>G30-G7</f>
        <v>138</v>
      </c>
    </row>
    <row r="37" spans="1:6" ht="15.6" x14ac:dyDescent="0.3">
      <c r="A37" s="25" t="s">
        <v>34</v>
      </c>
      <c r="B37" s="25"/>
      <c r="C37" s="25"/>
      <c r="D37" s="25"/>
      <c r="E37" s="25"/>
      <c r="F37" s="25">
        <f>SUM(F34:F36)</f>
        <v>-90</v>
      </c>
    </row>
    <row r="39" spans="1:6" x14ac:dyDescent="0.3">
      <c r="A39" t="s">
        <v>46</v>
      </c>
    </row>
    <row r="40" spans="1:6" x14ac:dyDescent="0.3">
      <c r="A40" t="s">
        <v>47</v>
      </c>
    </row>
    <row r="41" spans="1:6" x14ac:dyDescent="0.3">
      <c r="A41" t="s">
        <v>48</v>
      </c>
    </row>
    <row r="42" spans="1:6" x14ac:dyDescent="0.3">
      <c r="A42" t="s">
        <v>49</v>
      </c>
    </row>
    <row r="43" spans="1:6" x14ac:dyDescent="0.3">
      <c r="A43" t="s">
        <v>50</v>
      </c>
    </row>
    <row r="44" spans="1:6" x14ac:dyDescent="0.3">
      <c r="A44" t="s">
        <v>114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20"/>
  <dimension ref="A2:G44"/>
  <sheetViews>
    <sheetView topLeftCell="A24" workbookViewId="0"/>
  </sheetViews>
  <sheetFormatPr defaultRowHeight="14.4" x14ac:dyDescent="0.3"/>
  <sheetData>
    <row r="2" spans="1:7" x14ac:dyDescent="0.3">
      <c r="A2" s="24" t="s">
        <v>139</v>
      </c>
      <c r="B2" s="24"/>
      <c r="C2" s="24"/>
      <c r="D2" s="24"/>
      <c r="E2" s="24"/>
      <c r="F2" s="24"/>
    </row>
    <row r="3" spans="1:7" x14ac:dyDescent="0.3">
      <c r="C3" t="s">
        <v>32</v>
      </c>
      <c r="D3" t="s">
        <v>33</v>
      </c>
      <c r="E3" t="s">
        <v>87</v>
      </c>
      <c r="G3" t="s">
        <v>55</v>
      </c>
    </row>
    <row r="4" spans="1:7" x14ac:dyDescent="0.3">
      <c r="A4" t="s">
        <v>35</v>
      </c>
      <c r="C4">
        <v>5292</v>
      </c>
      <c r="D4" s="43">
        <v>42821</v>
      </c>
      <c r="E4">
        <v>357</v>
      </c>
      <c r="G4">
        <f>SUM(C4:F4)</f>
        <v>48470</v>
      </c>
    </row>
    <row r="5" spans="1:7" x14ac:dyDescent="0.3">
      <c r="A5" t="s">
        <v>36</v>
      </c>
      <c r="C5">
        <v>0</v>
      </c>
      <c r="D5">
        <v>626</v>
      </c>
      <c r="E5">
        <v>0</v>
      </c>
      <c r="G5">
        <f>SUM(C5:F5)</f>
        <v>626</v>
      </c>
    </row>
    <row r="6" spans="1:7" x14ac:dyDescent="0.3">
      <c r="A6" t="s">
        <v>141</v>
      </c>
      <c r="C6">
        <v>0</v>
      </c>
      <c r="D6">
        <v>1</v>
      </c>
      <c r="E6">
        <v>0</v>
      </c>
      <c r="G6">
        <f>SUM(C6:F6)</f>
        <v>1</v>
      </c>
    </row>
    <row r="7" spans="1:7" x14ac:dyDescent="0.3">
      <c r="A7" t="s">
        <v>37</v>
      </c>
      <c r="C7">
        <v>1765</v>
      </c>
      <c r="D7" s="43">
        <v>32086</v>
      </c>
      <c r="E7">
        <v>0</v>
      </c>
      <c r="G7">
        <f>SUM(C7:F7)</f>
        <v>33851</v>
      </c>
    </row>
    <row r="8" spans="1:7" ht="15.6" x14ac:dyDescent="0.3">
      <c r="A8" s="25" t="s">
        <v>63</v>
      </c>
      <c r="B8" s="25"/>
      <c r="C8" s="25">
        <f>SUM(C4:C7)</f>
        <v>7057</v>
      </c>
      <c r="D8" s="61">
        <f>SUM(D4:D7)</f>
        <v>75534</v>
      </c>
      <c r="E8" s="25">
        <f>SUM(E4:E7)</f>
        <v>357</v>
      </c>
      <c r="F8" s="25"/>
      <c r="G8" s="25">
        <f>SUM(G4:G7)</f>
        <v>82948</v>
      </c>
    </row>
    <row r="10" spans="1:7" x14ac:dyDescent="0.3">
      <c r="A10" s="24" t="s">
        <v>146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>
        <v>0</v>
      </c>
      <c r="D12" s="69">
        <v>728</v>
      </c>
      <c r="G12">
        <f>SUM(C12:E12)</f>
        <v>728</v>
      </c>
    </row>
    <row r="13" spans="1:7" x14ac:dyDescent="0.3">
      <c r="A13" t="s">
        <v>53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140</v>
      </c>
      <c r="C14">
        <v>0</v>
      </c>
      <c r="D14" s="43">
        <v>2</v>
      </c>
      <c r="G14">
        <f>SUM(C14:E14)</f>
        <v>2</v>
      </c>
    </row>
    <row r="15" spans="1:7" x14ac:dyDescent="0.3">
      <c r="A15" t="s">
        <v>54</v>
      </c>
      <c r="C15">
        <v>0</v>
      </c>
      <c r="D15" s="43">
        <v>636</v>
      </c>
      <c r="G15">
        <f>SUM(C15:E15)</f>
        <v>636</v>
      </c>
    </row>
    <row r="16" spans="1:7" ht="15.6" x14ac:dyDescent="0.3">
      <c r="A16" s="25" t="s">
        <v>55</v>
      </c>
      <c r="B16" s="25"/>
      <c r="C16" s="25">
        <f>SUM(C12:C15)</f>
        <v>0</v>
      </c>
      <c r="D16" s="25">
        <f>SUM(D12:D15)</f>
        <v>1366</v>
      </c>
      <c r="E16" s="25"/>
      <c r="F16" s="25"/>
      <c r="G16" s="25">
        <f>SUM(G12:G15)</f>
        <v>1366</v>
      </c>
    </row>
    <row r="18" spans="1:7" x14ac:dyDescent="0.3">
      <c r="A18" s="29" t="s">
        <v>147</v>
      </c>
      <c r="B18" s="29"/>
      <c r="C18" s="29"/>
      <c r="D18" s="29"/>
      <c r="E18" s="29"/>
      <c r="F18" s="29"/>
      <c r="G18" s="29"/>
    </row>
    <row r="19" spans="1:7" x14ac:dyDescent="0.3">
      <c r="A19" t="s">
        <v>39</v>
      </c>
      <c r="B19" t="s">
        <v>113</v>
      </c>
      <c r="C19" t="s">
        <v>41</v>
      </c>
      <c r="D19" t="s">
        <v>42</v>
      </c>
      <c r="E19" t="s">
        <v>43</v>
      </c>
      <c r="F19" t="s">
        <v>58</v>
      </c>
      <c r="G19" t="s">
        <v>34</v>
      </c>
    </row>
    <row r="20" spans="1:7" x14ac:dyDescent="0.3">
      <c r="A20" t="s">
        <v>35</v>
      </c>
      <c r="B20">
        <v>0</v>
      </c>
      <c r="C20" s="43">
        <v>803</v>
      </c>
      <c r="D20" s="43">
        <v>0</v>
      </c>
      <c r="E20" s="43">
        <v>126</v>
      </c>
      <c r="F20" s="43">
        <v>0</v>
      </c>
      <c r="G20">
        <f>SUM(B20:F20)</f>
        <v>929</v>
      </c>
    </row>
    <row r="21" spans="1:7" x14ac:dyDescent="0.3">
      <c r="A21" t="s">
        <v>36</v>
      </c>
      <c r="B21">
        <v>0</v>
      </c>
      <c r="C21" s="43">
        <v>0</v>
      </c>
      <c r="D21" s="43">
        <v>121</v>
      </c>
      <c r="E21" s="43">
        <v>0</v>
      </c>
      <c r="F21" s="43">
        <v>0</v>
      </c>
      <c r="G21">
        <f>SUM(C21:F21)</f>
        <v>121</v>
      </c>
    </row>
    <row r="22" spans="1:7" x14ac:dyDescent="0.3">
      <c r="A22" t="s">
        <v>37</v>
      </c>
      <c r="B22">
        <v>0</v>
      </c>
      <c r="C22" s="43">
        <v>804</v>
      </c>
      <c r="D22" s="43">
        <v>1</v>
      </c>
      <c r="E22" s="43">
        <v>44</v>
      </c>
      <c r="F22" s="43">
        <v>3</v>
      </c>
      <c r="G22">
        <f>SUM(B22:F22)</f>
        <v>852</v>
      </c>
    </row>
    <row r="23" spans="1:7" ht="15.6" x14ac:dyDescent="0.3">
      <c r="A23" t="s">
        <v>34</v>
      </c>
      <c r="C23" s="25">
        <f>SUM(C20:C22)</f>
        <v>1607</v>
      </c>
      <c r="D23" s="25">
        <f>SUM(D20:D22)</f>
        <v>122</v>
      </c>
      <c r="E23" s="25">
        <f>SUM(E20:E22)</f>
        <v>170</v>
      </c>
      <c r="F23" s="25">
        <f>SUM(F20:F22)</f>
        <v>3</v>
      </c>
      <c r="G23" s="25">
        <f>SUM(G20:G22)</f>
        <v>1902</v>
      </c>
    </row>
    <row r="25" spans="1:7" x14ac:dyDescent="0.3">
      <c r="A25" s="24" t="s">
        <v>148</v>
      </c>
      <c r="B25" s="24"/>
      <c r="C25" s="24"/>
      <c r="D25" s="24"/>
      <c r="E25" s="24"/>
      <c r="F25" s="24"/>
    </row>
    <row r="26" spans="1:7" x14ac:dyDescent="0.3">
      <c r="C26" t="s">
        <v>32</v>
      </c>
      <c r="D26" t="s">
        <v>33</v>
      </c>
      <c r="E26" t="s">
        <v>87</v>
      </c>
      <c r="G26" t="s">
        <v>55</v>
      </c>
    </row>
    <row r="27" spans="1:7" x14ac:dyDescent="0.3">
      <c r="A27" t="s">
        <v>35</v>
      </c>
      <c r="C27">
        <v>4793</v>
      </c>
      <c r="D27" s="43">
        <v>43122</v>
      </c>
      <c r="E27">
        <v>354</v>
      </c>
      <c r="G27">
        <f>SUM(C27:F27)</f>
        <v>48269</v>
      </c>
    </row>
    <row r="28" spans="1:7" x14ac:dyDescent="0.3">
      <c r="A28" t="s">
        <v>36</v>
      </c>
      <c r="C28">
        <v>0</v>
      </c>
      <c r="D28">
        <v>505</v>
      </c>
      <c r="E28">
        <v>0</v>
      </c>
      <c r="G28">
        <f>SUM(C28:F28)</f>
        <v>505</v>
      </c>
    </row>
    <row r="29" spans="1:7" x14ac:dyDescent="0.3">
      <c r="A29" t="s">
        <v>141</v>
      </c>
      <c r="C29">
        <v>0</v>
      </c>
      <c r="D29">
        <v>3</v>
      </c>
      <c r="E29">
        <v>0</v>
      </c>
      <c r="G29">
        <f>SUM(C29:F29)</f>
        <v>3</v>
      </c>
    </row>
    <row r="30" spans="1:7" x14ac:dyDescent="0.3">
      <c r="A30" t="s">
        <v>37</v>
      </c>
      <c r="C30">
        <v>1217</v>
      </c>
      <c r="D30" s="43">
        <v>32418</v>
      </c>
      <c r="E30">
        <v>0</v>
      </c>
      <c r="G30">
        <f>SUM(C30:F30)</f>
        <v>33635</v>
      </c>
    </row>
    <row r="31" spans="1:7" ht="15.6" x14ac:dyDescent="0.3">
      <c r="A31" s="25" t="s">
        <v>63</v>
      </c>
      <c r="B31" s="25"/>
      <c r="C31" s="25">
        <f>SUM(C27:C30)</f>
        <v>6010</v>
      </c>
      <c r="D31" s="61">
        <f>SUM(D27:D30)</f>
        <v>76048</v>
      </c>
      <c r="E31" s="25">
        <f>SUM(E27:E30)</f>
        <v>354</v>
      </c>
      <c r="F31" s="25"/>
      <c r="G31" s="25">
        <f>SUM(G27:G30)</f>
        <v>82412</v>
      </c>
    </row>
    <row r="33" spans="1:6" ht="15.6" x14ac:dyDescent="0.3">
      <c r="A33" s="26" t="s">
        <v>157</v>
      </c>
      <c r="B33" s="26"/>
      <c r="C33" s="24"/>
      <c r="D33" s="24"/>
      <c r="E33" s="24"/>
      <c r="F33" s="24"/>
    </row>
    <row r="34" spans="1:6" x14ac:dyDescent="0.3">
      <c r="A34" t="s">
        <v>35</v>
      </c>
      <c r="F34">
        <f>G27-G5</f>
        <v>47643</v>
      </c>
    </row>
    <row r="35" spans="1:6" x14ac:dyDescent="0.3">
      <c r="A35" t="s">
        <v>36</v>
      </c>
      <c r="F35">
        <f>G28-G6</f>
        <v>504</v>
      </c>
    </row>
    <row r="36" spans="1:6" x14ac:dyDescent="0.3">
      <c r="A36" t="s">
        <v>37</v>
      </c>
      <c r="F36">
        <f>G30-G7</f>
        <v>-216</v>
      </c>
    </row>
    <row r="37" spans="1:6" ht="15.6" x14ac:dyDescent="0.3">
      <c r="A37" s="25" t="s">
        <v>34</v>
      </c>
      <c r="B37" s="25"/>
      <c r="C37" s="25"/>
      <c r="D37" s="25"/>
      <c r="E37" s="25"/>
      <c r="F37" s="25">
        <f>SUM(F34:F36)</f>
        <v>47931</v>
      </c>
    </row>
    <row r="39" spans="1:6" x14ac:dyDescent="0.3">
      <c r="A39" t="s">
        <v>46</v>
      </c>
    </row>
    <row r="40" spans="1:6" x14ac:dyDescent="0.3">
      <c r="A40" t="s">
        <v>47</v>
      </c>
    </row>
    <row r="41" spans="1:6" x14ac:dyDescent="0.3">
      <c r="A41" t="s">
        <v>48</v>
      </c>
    </row>
    <row r="42" spans="1:6" x14ac:dyDescent="0.3">
      <c r="A42" t="s">
        <v>49</v>
      </c>
    </row>
    <row r="43" spans="1:6" x14ac:dyDescent="0.3">
      <c r="A43" t="s">
        <v>50</v>
      </c>
    </row>
    <row r="44" spans="1:6" x14ac:dyDescent="0.3">
      <c r="A44" t="s">
        <v>114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1"/>
  <dimension ref="A2:G44"/>
  <sheetViews>
    <sheetView topLeftCell="A20" workbookViewId="0"/>
  </sheetViews>
  <sheetFormatPr defaultRowHeight="14.4" x14ac:dyDescent="0.3"/>
  <sheetData>
    <row r="2" spans="1:7" x14ac:dyDescent="0.3">
      <c r="A2" s="24" t="s">
        <v>152</v>
      </c>
      <c r="B2" s="24"/>
      <c r="C2" s="24"/>
      <c r="D2" s="24"/>
      <c r="E2" s="24"/>
      <c r="F2" s="24"/>
    </row>
    <row r="3" spans="1:7" x14ac:dyDescent="0.3">
      <c r="C3" t="s">
        <v>32</v>
      </c>
      <c r="D3" t="s">
        <v>33</v>
      </c>
      <c r="E3" t="s">
        <v>87</v>
      </c>
      <c r="G3" t="s">
        <v>55</v>
      </c>
    </row>
    <row r="4" spans="1:7" x14ac:dyDescent="0.3">
      <c r="A4" t="s">
        <v>35</v>
      </c>
      <c r="C4">
        <v>4793</v>
      </c>
      <c r="D4" s="43">
        <v>43122</v>
      </c>
      <c r="E4">
        <v>354</v>
      </c>
      <c r="G4">
        <f>SUM(C4:F4)</f>
        <v>48269</v>
      </c>
    </row>
    <row r="5" spans="1:7" x14ac:dyDescent="0.3">
      <c r="A5" t="s">
        <v>36</v>
      </c>
      <c r="C5">
        <v>0</v>
      </c>
      <c r="D5">
        <v>505</v>
      </c>
      <c r="E5">
        <v>0</v>
      </c>
      <c r="G5">
        <f>SUM(C5:F5)</f>
        <v>505</v>
      </c>
    </row>
    <row r="6" spans="1:7" x14ac:dyDescent="0.3">
      <c r="A6" t="s">
        <v>141</v>
      </c>
      <c r="C6">
        <v>0</v>
      </c>
      <c r="D6">
        <v>3</v>
      </c>
      <c r="E6">
        <v>0</v>
      </c>
      <c r="G6">
        <f>SUM(C6:F6)</f>
        <v>3</v>
      </c>
    </row>
    <row r="7" spans="1:7" x14ac:dyDescent="0.3">
      <c r="A7" t="s">
        <v>37</v>
      </c>
      <c r="C7">
        <v>1217</v>
      </c>
      <c r="D7" s="43">
        <v>32418</v>
      </c>
      <c r="E7">
        <v>0</v>
      </c>
      <c r="G7">
        <f>SUM(C7:F7)</f>
        <v>33635</v>
      </c>
    </row>
    <row r="8" spans="1:7" ht="15.6" x14ac:dyDescent="0.3">
      <c r="A8" s="25" t="s">
        <v>63</v>
      </c>
      <c r="B8" s="25"/>
      <c r="C8" s="25">
        <f>SUM(C4:C7)</f>
        <v>6010</v>
      </c>
      <c r="D8" s="61">
        <f>SUM(D4:D7)</f>
        <v>76048</v>
      </c>
      <c r="E8" s="25">
        <f>SUM(E4:E7)</f>
        <v>354</v>
      </c>
      <c r="F8" s="25"/>
      <c r="G8" s="25">
        <f>SUM(G4:G7)</f>
        <v>82412</v>
      </c>
    </row>
    <row r="10" spans="1:7" x14ac:dyDescent="0.3">
      <c r="A10" s="24" t="s">
        <v>154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>
        <v>0</v>
      </c>
      <c r="D12" s="69">
        <v>2042</v>
      </c>
      <c r="G12">
        <f>SUM(C12:E12)</f>
        <v>2042</v>
      </c>
    </row>
    <row r="13" spans="1:7" x14ac:dyDescent="0.3">
      <c r="A13" t="s">
        <v>53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140</v>
      </c>
      <c r="C14">
        <v>0</v>
      </c>
      <c r="D14" s="43">
        <v>1</v>
      </c>
      <c r="G14">
        <f>SUM(C14:E14)</f>
        <v>1</v>
      </c>
    </row>
    <row r="15" spans="1:7" x14ac:dyDescent="0.3">
      <c r="A15" t="s">
        <v>54</v>
      </c>
      <c r="C15">
        <v>0</v>
      </c>
      <c r="D15" s="43">
        <v>726</v>
      </c>
      <c r="G15">
        <f>SUM(C15:E15)</f>
        <v>726</v>
      </c>
    </row>
    <row r="16" spans="1:7" ht="15.6" x14ac:dyDescent="0.3">
      <c r="A16" s="25" t="s">
        <v>55</v>
      </c>
      <c r="B16" s="25"/>
      <c r="C16" s="25">
        <f>SUM(C12:C15)</f>
        <v>0</v>
      </c>
      <c r="D16" s="25">
        <f>SUM(D12:D15)</f>
        <v>2769</v>
      </c>
      <c r="E16" s="25"/>
      <c r="F16" s="25"/>
      <c r="G16" s="25">
        <f>SUM(G12:G15)</f>
        <v>2769</v>
      </c>
    </row>
    <row r="18" spans="1:7" x14ac:dyDescent="0.3">
      <c r="A18" s="29" t="s">
        <v>153</v>
      </c>
      <c r="B18" s="29"/>
      <c r="C18" s="29"/>
      <c r="D18" s="29"/>
      <c r="E18" s="29"/>
      <c r="F18" s="29"/>
      <c r="G18" s="29"/>
    </row>
    <row r="19" spans="1:7" x14ac:dyDescent="0.3">
      <c r="A19" t="s">
        <v>39</v>
      </c>
      <c r="B19" t="s">
        <v>113</v>
      </c>
      <c r="C19" t="s">
        <v>41</v>
      </c>
      <c r="D19" t="s">
        <v>42</v>
      </c>
      <c r="E19" t="s">
        <v>43</v>
      </c>
      <c r="F19" t="s">
        <v>58</v>
      </c>
      <c r="G19" t="s">
        <v>34</v>
      </c>
    </row>
    <row r="20" spans="1:7" x14ac:dyDescent="0.3">
      <c r="A20" t="s">
        <v>35</v>
      </c>
      <c r="B20">
        <v>2</v>
      </c>
      <c r="C20" s="43">
        <v>2307</v>
      </c>
      <c r="D20" s="43">
        <v>0</v>
      </c>
      <c r="E20" s="43">
        <v>246</v>
      </c>
      <c r="F20" s="43">
        <v>0</v>
      </c>
      <c r="G20">
        <f>SUM(B20:F20)</f>
        <v>2555</v>
      </c>
    </row>
    <row r="21" spans="1:7" x14ac:dyDescent="0.3">
      <c r="A21" t="s">
        <v>36</v>
      </c>
      <c r="B21">
        <v>0</v>
      </c>
      <c r="C21" s="43">
        <v>0</v>
      </c>
      <c r="D21" s="43">
        <v>36</v>
      </c>
      <c r="E21" s="43">
        <v>0</v>
      </c>
      <c r="F21" s="43">
        <v>0</v>
      </c>
      <c r="G21">
        <f>SUM(C21:F21)</f>
        <v>36</v>
      </c>
    </row>
    <row r="22" spans="1:7" x14ac:dyDescent="0.3">
      <c r="A22" t="s">
        <v>37</v>
      </c>
      <c r="B22">
        <v>0</v>
      </c>
      <c r="C22" s="43">
        <v>621</v>
      </c>
      <c r="D22" s="43">
        <v>1</v>
      </c>
      <c r="E22" s="43">
        <v>110</v>
      </c>
      <c r="F22" s="43">
        <v>2</v>
      </c>
      <c r="G22">
        <f>SUM(B22:F22)</f>
        <v>734</v>
      </c>
    </row>
    <row r="23" spans="1:7" ht="15.6" x14ac:dyDescent="0.3">
      <c r="A23" t="s">
        <v>34</v>
      </c>
      <c r="C23" s="25">
        <f>SUM(C20:C22)</f>
        <v>2928</v>
      </c>
      <c r="D23" s="25">
        <f>SUM(D20:D22)</f>
        <v>37</v>
      </c>
      <c r="E23" s="25">
        <f>SUM(E20:E22)</f>
        <v>356</v>
      </c>
      <c r="F23" s="25">
        <f>SUM(F20:F22)</f>
        <v>2</v>
      </c>
      <c r="G23" s="25">
        <f>SUM(G20:G22)</f>
        <v>3325</v>
      </c>
    </row>
    <row r="25" spans="1:7" x14ac:dyDescent="0.3">
      <c r="A25" s="24" t="s">
        <v>158</v>
      </c>
      <c r="B25" s="24"/>
      <c r="C25" s="24"/>
      <c r="D25" s="24"/>
      <c r="E25" s="24"/>
      <c r="F25" s="24"/>
    </row>
    <row r="26" spans="1:7" x14ac:dyDescent="0.3">
      <c r="C26" t="s">
        <v>32</v>
      </c>
      <c r="D26" t="s">
        <v>33</v>
      </c>
      <c r="E26" t="s">
        <v>87</v>
      </c>
      <c r="G26" t="s">
        <v>55</v>
      </c>
    </row>
    <row r="27" spans="1:7" x14ac:dyDescent="0.3">
      <c r="A27" t="s">
        <v>35</v>
      </c>
      <c r="C27">
        <v>2646</v>
      </c>
      <c r="D27" s="43">
        <v>44768</v>
      </c>
      <c r="E27">
        <v>342</v>
      </c>
      <c r="G27">
        <f>SUM(C27:F27)</f>
        <v>47756</v>
      </c>
    </row>
    <row r="28" spans="1:7" x14ac:dyDescent="0.3">
      <c r="A28" t="s">
        <v>36</v>
      </c>
      <c r="C28">
        <v>0</v>
      </c>
      <c r="D28">
        <v>469</v>
      </c>
      <c r="E28">
        <v>0</v>
      </c>
      <c r="G28">
        <f>SUM(C28:F28)</f>
        <v>469</v>
      </c>
    </row>
    <row r="29" spans="1:7" x14ac:dyDescent="0.3">
      <c r="A29" t="s">
        <v>141</v>
      </c>
      <c r="C29">
        <v>0</v>
      </c>
      <c r="D29">
        <v>4</v>
      </c>
      <c r="E29">
        <v>0</v>
      </c>
      <c r="G29">
        <f>SUM(C29:F29)</f>
        <v>4</v>
      </c>
    </row>
    <row r="30" spans="1:7" x14ac:dyDescent="0.3">
      <c r="A30" t="s">
        <v>37</v>
      </c>
      <c r="C30">
        <v>715</v>
      </c>
      <c r="D30" s="43">
        <v>32912</v>
      </c>
      <c r="E30">
        <v>0</v>
      </c>
      <c r="G30">
        <f>SUM(C30:F30)</f>
        <v>33627</v>
      </c>
    </row>
    <row r="31" spans="1:7" ht="15.6" x14ac:dyDescent="0.3">
      <c r="A31" s="25" t="s">
        <v>63</v>
      </c>
      <c r="B31" s="25"/>
      <c r="C31" s="25">
        <f>SUM(C27:C30)</f>
        <v>3361</v>
      </c>
      <c r="D31" s="61">
        <f>SUM(D27:D30)</f>
        <v>78153</v>
      </c>
      <c r="E31" s="25">
        <f>SUM(E27:E30)</f>
        <v>342</v>
      </c>
      <c r="F31" s="25"/>
      <c r="G31" s="25">
        <f>SUM(G27:G30)</f>
        <v>81856</v>
      </c>
    </row>
    <row r="33" spans="1:6" ht="15.6" x14ac:dyDescent="0.3">
      <c r="A33" s="26" t="s">
        <v>155</v>
      </c>
      <c r="B33" s="26"/>
      <c r="C33" s="24"/>
      <c r="D33" s="24"/>
      <c r="E33" s="24"/>
      <c r="F33" s="24"/>
    </row>
    <row r="34" spans="1:6" x14ac:dyDescent="0.3">
      <c r="A34" t="s">
        <v>35</v>
      </c>
      <c r="F34">
        <f>G27-G4</f>
        <v>-513</v>
      </c>
    </row>
    <row r="35" spans="1:6" x14ac:dyDescent="0.3">
      <c r="A35" t="s">
        <v>36</v>
      </c>
      <c r="F35">
        <f>G28-G5</f>
        <v>-36</v>
      </c>
    </row>
    <row r="36" spans="1:6" x14ac:dyDescent="0.3">
      <c r="A36" t="s">
        <v>37</v>
      </c>
      <c r="F36">
        <f>G30-G7</f>
        <v>-8</v>
      </c>
    </row>
    <row r="37" spans="1:6" ht="15.6" x14ac:dyDescent="0.3">
      <c r="A37" s="25" t="s">
        <v>34</v>
      </c>
      <c r="B37" s="25"/>
      <c r="C37" s="25"/>
      <c r="D37" s="25"/>
      <c r="E37" s="25"/>
      <c r="F37" s="25">
        <f>SUM(F34:F36)</f>
        <v>-557</v>
      </c>
    </row>
    <row r="39" spans="1:6" x14ac:dyDescent="0.3">
      <c r="A39" t="s">
        <v>46</v>
      </c>
    </row>
    <row r="40" spans="1:6" x14ac:dyDescent="0.3">
      <c r="A40" t="s">
        <v>47</v>
      </c>
    </row>
    <row r="41" spans="1:6" x14ac:dyDescent="0.3">
      <c r="A41" t="s">
        <v>48</v>
      </c>
    </row>
    <row r="42" spans="1:6" x14ac:dyDescent="0.3">
      <c r="A42" t="s">
        <v>49</v>
      </c>
    </row>
    <row r="43" spans="1:6" x14ac:dyDescent="0.3">
      <c r="A43" t="s">
        <v>50</v>
      </c>
    </row>
    <row r="44" spans="1:6" x14ac:dyDescent="0.3">
      <c r="A44" t="s">
        <v>114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2"/>
  <dimension ref="A2:H44"/>
  <sheetViews>
    <sheetView workbookViewId="0"/>
  </sheetViews>
  <sheetFormatPr defaultRowHeight="14.4" x14ac:dyDescent="0.3"/>
  <sheetData>
    <row r="2" spans="1:8" x14ac:dyDescent="0.3">
      <c r="A2" s="24" t="s">
        <v>159</v>
      </c>
      <c r="B2" s="24"/>
      <c r="C2" s="24"/>
      <c r="D2" s="24"/>
      <c r="E2" s="24"/>
      <c r="F2" s="24"/>
    </row>
    <row r="3" spans="1:8" x14ac:dyDescent="0.3">
      <c r="C3" t="s">
        <v>32</v>
      </c>
      <c r="D3" t="s">
        <v>33</v>
      </c>
      <c r="E3" t="s">
        <v>87</v>
      </c>
      <c r="G3" t="s">
        <v>55</v>
      </c>
    </row>
    <row r="4" spans="1:8" x14ac:dyDescent="0.3">
      <c r="A4" t="s">
        <v>35</v>
      </c>
      <c r="C4">
        <v>2646</v>
      </c>
      <c r="D4" s="43">
        <v>44768</v>
      </c>
      <c r="E4">
        <v>342</v>
      </c>
      <c r="G4">
        <f>SUM(C4:F4)</f>
        <v>47756</v>
      </c>
    </row>
    <row r="5" spans="1:8" x14ac:dyDescent="0.3">
      <c r="A5" t="s">
        <v>36</v>
      </c>
      <c r="C5">
        <v>0</v>
      </c>
      <c r="D5">
        <v>469</v>
      </c>
      <c r="E5">
        <v>0</v>
      </c>
      <c r="G5">
        <f>SUM(C5:F5)</f>
        <v>469</v>
      </c>
    </row>
    <row r="6" spans="1:8" x14ac:dyDescent="0.3">
      <c r="A6" t="s">
        <v>141</v>
      </c>
      <c r="C6">
        <v>0</v>
      </c>
      <c r="D6">
        <v>4</v>
      </c>
      <c r="E6">
        <v>0</v>
      </c>
      <c r="G6">
        <f>SUM(C6:F6)</f>
        <v>4</v>
      </c>
    </row>
    <row r="7" spans="1:8" x14ac:dyDescent="0.3">
      <c r="A7" t="s">
        <v>37</v>
      </c>
      <c r="C7">
        <v>715</v>
      </c>
      <c r="D7" s="43">
        <v>32912</v>
      </c>
      <c r="E7">
        <v>0</v>
      </c>
      <c r="G7">
        <f>SUM(C7:F7)</f>
        <v>33627</v>
      </c>
    </row>
    <row r="8" spans="1:8" ht="15.6" x14ac:dyDescent="0.3">
      <c r="A8" s="25" t="s">
        <v>63</v>
      </c>
      <c r="B8" s="25"/>
      <c r="C8" s="25">
        <f>SUM(C4:C7)</f>
        <v>3361</v>
      </c>
      <c r="D8" s="61">
        <f>SUM(D4:D7)</f>
        <v>78153</v>
      </c>
      <c r="E8" s="25">
        <f>SUM(E4:E7)</f>
        <v>342</v>
      </c>
      <c r="F8" s="25"/>
      <c r="G8" s="25">
        <f>SUM(G4:G7)</f>
        <v>81856</v>
      </c>
    </row>
    <row r="9" spans="1:8" x14ac:dyDescent="0.3">
      <c r="H9" t="s">
        <v>164</v>
      </c>
    </row>
    <row r="10" spans="1:8" x14ac:dyDescent="0.3">
      <c r="A10" s="24" t="s">
        <v>160</v>
      </c>
      <c r="B10" s="24"/>
      <c r="C10" s="24"/>
      <c r="D10" s="24"/>
      <c r="E10" s="24"/>
      <c r="F10" s="24"/>
      <c r="G10" s="24"/>
    </row>
    <row r="11" spans="1:8" x14ac:dyDescent="0.3">
      <c r="C11" t="s">
        <v>57</v>
      </c>
      <c r="D11" t="s">
        <v>33</v>
      </c>
      <c r="G11" t="s">
        <v>56</v>
      </c>
    </row>
    <row r="12" spans="1:8" x14ac:dyDescent="0.3">
      <c r="A12" t="s">
        <v>35</v>
      </c>
      <c r="C12">
        <v>0</v>
      </c>
      <c r="D12" s="69">
        <v>355</v>
      </c>
      <c r="G12">
        <f>SUM(C12:E12)</f>
        <v>355</v>
      </c>
    </row>
    <row r="13" spans="1:8" x14ac:dyDescent="0.3">
      <c r="A13" t="s">
        <v>53</v>
      </c>
      <c r="C13">
        <v>0</v>
      </c>
      <c r="D13" s="43">
        <v>0</v>
      </c>
      <c r="G13">
        <f>SUM(C13:E13)</f>
        <v>0</v>
      </c>
    </row>
    <row r="14" spans="1:8" x14ac:dyDescent="0.3">
      <c r="A14" t="s">
        <v>140</v>
      </c>
      <c r="C14">
        <v>0</v>
      </c>
      <c r="D14" s="43">
        <v>0</v>
      </c>
      <c r="G14">
        <f>SUM(C14:E14)</f>
        <v>0</v>
      </c>
    </row>
    <row r="15" spans="1:8" x14ac:dyDescent="0.3">
      <c r="A15" t="s">
        <v>54</v>
      </c>
      <c r="C15">
        <v>0</v>
      </c>
      <c r="D15" s="43">
        <v>449</v>
      </c>
      <c r="G15">
        <f>SUM(C15:E15)</f>
        <v>449</v>
      </c>
    </row>
    <row r="16" spans="1:8" ht="15.6" x14ac:dyDescent="0.3">
      <c r="A16" s="25" t="s">
        <v>55</v>
      </c>
      <c r="B16" s="25"/>
      <c r="C16" s="25">
        <f>SUM(C12:C15)</f>
        <v>0</v>
      </c>
      <c r="D16" s="25">
        <f>SUM(D12:D15)</f>
        <v>804</v>
      </c>
      <c r="E16" s="25"/>
      <c r="F16" s="25"/>
      <c r="G16" s="25">
        <f>SUM(G12:G15)</f>
        <v>804</v>
      </c>
    </row>
    <row r="18" spans="1:7" x14ac:dyDescent="0.3">
      <c r="A18" s="29" t="s">
        <v>161</v>
      </c>
      <c r="B18" s="29"/>
      <c r="C18" s="29"/>
      <c r="D18" s="29"/>
      <c r="E18" s="29"/>
      <c r="F18" s="29"/>
      <c r="G18" s="29"/>
    </row>
    <row r="19" spans="1:7" x14ac:dyDescent="0.3">
      <c r="A19" t="s">
        <v>39</v>
      </c>
      <c r="B19" t="s">
        <v>113</v>
      </c>
      <c r="C19" t="s">
        <v>41</v>
      </c>
      <c r="D19" t="s">
        <v>42</v>
      </c>
      <c r="E19" t="s">
        <v>43</v>
      </c>
      <c r="F19" t="s">
        <v>58</v>
      </c>
      <c r="G19" t="s">
        <v>34</v>
      </c>
    </row>
    <row r="20" spans="1:7" x14ac:dyDescent="0.3">
      <c r="A20" t="s">
        <v>35</v>
      </c>
      <c r="B20">
        <v>0</v>
      </c>
      <c r="C20" s="43">
        <v>552</v>
      </c>
      <c r="D20" s="43">
        <v>386</v>
      </c>
      <c r="E20" s="43">
        <v>66</v>
      </c>
      <c r="F20" s="43">
        <v>1</v>
      </c>
      <c r="G20">
        <f>SUM(B20:F20)</f>
        <v>1005</v>
      </c>
    </row>
    <row r="21" spans="1:7" x14ac:dyDescent="0.3">
      <c r="A21" t="s">
        <v>36</v>
      </c>
      <c r="B21">
        <v>0</v>
      </c>
      <c r="C21" s="43">
        <v>0</v>
      </c>
      <c r="D21" s="43">
        <v>82</v>
      </c>
      <c r="E21" s="43">
        <v>0</v>
      </c>
      <c r="F21" s="43">
        <v>0</v>
      </c>
      <c r="G21">
        <f>SUM(C21:F21)</f>
        <v>82</v>
      </c>
    </row>
    <row r="22" spans="1:7" x14ac:dyDescent="0.3">
      <c r="A22" t="s">
        <v>37</v>
      </c>
      <c r="B22">
        <v>1</v>
      </c>
      <c r="C22" s="43">
        <v>311</v>
      </c>
      <c r="D22" s="43">
        <v>0</v>
      </c>
      <c r="E22" s="43">
        <v>25</v>
      </c>
      <c r="F22" s="43">
        <v>5</v>
      </c>
      <c r="G22">
        <f>SUM(B22:F22)</f>
        <v>342</v>
      </c>
    </row>
    <row r="23" spans="1:7" ht="15.6" x14ac:dyDescent="0.3">
      <c r="A23" t="s">
        <v>34</v>
      </c>
      <c r="C23" s="25">
        <f>SUM(C20:C22)</f>
        <v>863</v>
      </c>
      <c r="D23" s="25">
        <f>SUM(D20:D22)</f>
        <v>468</v>
      </c>
      <c r="E23" s="25">
        <f>SUM(E20:E22)</f>
        <v>91</v>
      </c>
      <c r="F23" s="25">
        <f>SUM(F20:F22)</f>
        <v>6</v>
      </c>
      <c r="G23" s="25">
        <f>SUM(G20:G22)</f>
        <v>1429</v>
      </c>
    </row>
    <row r="25" spans="1:7" x14ac:dyDescent="0.3">
      <c r="A25" s="24" t="s">
        <v>162</v>
      </c>
      <c r="B25" s="24"/>
      <c r="C25" s="24"/>
      <c r="D25" s="24"/>
      <c r="E25" s="24"/>
      <c r="F25" s="24"/>
    </row>
    <row r="26" spans="1:7" x14ac:dyDescent="0.3">
      <c r="C26" t="s">
        <v>32</v>
      </c>
      <c r="D26" t="s">
        <v>33</v>
      </c>
      <c r="E26" t="s">
        <v>87</v>
      </c>
      <c r="G26" t="s">
        <v>55</v>
      </c>
    </row>
    <row r="27" spans="1:7" x14ac:dyDescent="0.3">
      <c r="A27" t="s">
        <v>35</v>
      </c>
      <c r="C27">
        <v>2227</v>
      </c>
      <c r="D27" s="43">
        <v>44544</v>
      </c>
      <c r="E27">
        <v>335</v>
      </c>
      <c r="G27">
        <f>SUM(C27:F27)</f>
        <v>47106</v>
      </c>
    </row>
    <row r="28" spans="1:7" x14ac:dyDescent="0.3">
      <c r="A28" t="s">
        <v>36</v>
      </c>
      <c r="C28">
        <v>0</v>
      </c>
      <c r="D28">
        <v>387</v>
      </c>
      <c r="E28">
        <v>0</v>
      </c>
      <c r="G28">
        <f>SUM(C28:F28)</f>
        <v>387</v>
      </c>
    </row>
    <row r="29" spans="1:7" x14ac:dyDescent="0.3">
      <c r="A29" t="s">
        <v>141</v>
      </c>
      <c r="C29">
        <v>0</v>
      </c>
      <c r="D29">
        <v>4</v>
      </c>
      <c r="E29">
        <v>0</v>
      </c>
      <c r="G29">
        <f>SUM(C29:F29)</f>
        <v>4</v>
      </c>
    </row>
    <row r="30" spans="1:7" x14ac:dyDescent="0.3">
      <c r="A30" t="s">
        <v>37</v>
      </c>
      <c r="C30">
        <v>753</v>
      </c>
      <c r="D30" s="43">
        <v>32981</v>
      </c>
      <c r="E30">
        <v>0</v>
      </c>
      <c r="G30">
        <f>SUM(C30:F30)</f>
        <v>33734</v>
      </c>
    </row>
    <row r="31" spans="1:7" ht="15.6" x14ac:dyDescent="0.3">
      <c r="A31" s="25" t="s">
        <v>63</v>
      </c>
      <c r="B31" s="25"/>
      <c r="C31" s="25">
        <f>SUM(C27:C30)</f>
        <v>2980</v>
      </c>
      <c r="D31" s="61">
        <f>SUM(D27:D30)</f>
        <v>77916</v>
      </c>
      <c r="E31" s="25">
        <f>SUM(E27:E30)</f>
        <v>335</v>
      </c>
      <c r="F31" s="25"/>
      <c r="G31" s="25">
        <f>SUM(G27:G30)</f>
        <v>81231</v>
      </c>
    </row>
    <row r="33" spans="1:6" ht="15.6" x14ac:dyDescent="0.3">
      <c r="A33" s="26" t="s">
        <v>163</v>
      </c>
      <c r="B33" s="26"/>
      <c r="C33" s="24"/>
      <c r="D33" s="24"/>
      <c r="E33" s="24"/>
      <c r="F33" s="24"/>
    </row>
    <row r="34" spans="1:6" x14ac:dyDescent="0.3">
      <c r="A34" t="s">
        <v>35</v>
      </c>
      <c r="F34">
        <f>G27-G4</f>
        <v>-650</v>
      </c>
    </row>
    <row r="35" spans="1:6" x14ac:dyDescent="0.3">
      <c r="A35" t="s">
        <v>36</v>
      </c>
      <c r="F35">
        <f>G28-G5</f>
        <v>-82</v>
      </c>
    </row>
    <row r="36" spans="1:6" x14ac:dyDescent="0.3">
      <c r="A36" t="s">
        <v>37</v>
      </c>
      <c r="F36">
        <f>G30-G7</f>
        <v>107</v>
      </c>
    </row>
    <row r="37" spans="1:6" ht="15.6" x14ac:dyDescent="0.3">
      <c r="A37" s="25" t="s">
        <v>34</v>
      </c>
      <c r="B37" s="25"/>
      <c r="C37" s="25"/>
      <c r="D37" s="25"/>
      <c r="E37" s="25"/>
      <c r="F37" s="25">
        <f>SUM(F34:F36)</f>
        <v>-625</v>
      </c>
    </row>
    <row r="39" spans="1:6" x14ac:dyDescent="0.3">
      <c r="A39" t="s">
        <v>46</v>
      </c>
    </row>
    <row r="40" spans="1:6" x14ac:dyDescent="0.3">
      <c r="A40" t="s">
        <v>47</v>
      </c>
    </row>
    <row r="41" spans="1:6" x14ac:dyDescent="0.3">
      <c r="A41" t="s">
        <v>48</v>
      </c>
    </row>
    <row r="42" spans="1:6" x14ac:dyDescent="0.3">
      <c r="A42" t="s">
        <v>49</v>
      </c>
    </row>
    <row r="43" spans="1:6" x14ac:dyDescent="0.3">
      <c r="A43" t="s">
        <v>50</v>
      </c>
    </row>
    <row r="44" spans="1:6" x14ac:dyDescent="0.3">
      <c r="A44" t="s">
        <v>114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3"/>
  <dimension ref="A2:H44"/>
  <sheetViews>
    <sheetView topLeftCell="A24" workbookViewId="0"/>
  </sheetViews>
  <sheetFormatPr defaultRowHeight="14.4" x14ac:dyDescent="0.3"/>
  <sheetData>
    <row r="2" spans="1:7" x14ac:dyDescent="0.3">
      <c r="A2" s="24" t="s">
        <v>166</v>
      </c>
      <c r="B2" s="24"/>
      <c r="C2" s="24"/>
      <c r="D2" s="24"/>
      <c r="E2" s="24"/>
      <c r="F2" s="24"/>
    </row>
    <row r="3" spans="1:7" x14ac:dyDescent="0.3">
      <c r="C3" t="s">
        <v>32</v>
      </c>
      <c r="D3" t="s">
        <v>33</v>
      </c>
      <c r="E3" t="s">
        <v>87</v>
      </c>
      <c r="G3" t="s">
        <v>55</v>
      </c>
    </row>
    <row r="4" spans="1:7" x14ac:dyDescent="0.3">
      <c r="A4" t="s">
        <v>35</v>
      </c>
      <c r="C4">
        <v>2227</v>
      </c>
      <c r="D4" s="43">
        <v>44544</v>
      </c>
      <c r="E4">
        <v>335</v>
      </c>
      <c r="G4">
        <f>SUM(C4:F4)</f>
        <v>47106</v>
      </c>
    </row>
    <row r="5" spans="1:7" x14ac:dyDescent="0.3">
      <c r="A5" t="s">
        <v>36</v>
      </c>
      <c r="C5">
        <v>0</v>
      </c>
      <c r="D5">
        <v>387</v>
      </c>
      <c r="E5">
        <v>0</v>
      </c>
      <c r="G5">
        <f>SUM(C5:F5)</f>
        <v>387</v>
      </c>
    </row>
    <row r="6" spans="1:7" x14ac:dyDescent="0.3">
      <c r="A6" t="s">
        <v>141</v>
      </c>
      <c r="C6">
        <v>0</v>
      </c>
      <c r="D6">
        <v>4</v>
      </c>
      <c r="E6">
        <v>0</v>
      </c>
      <c r="G6">
        <f>SUM(C6:F6)</f>
        <v>4</v>
      </c>
    </row>
    <row r="7" spans="1:7" x14ac:dyDescent="0.3">
      <c r="A7" t="s">
        <v>37</v>
      </c>
      <c r="C7">
        <v>753</v>
      </c>
      <c r="D7" s="43">
        <v>32981</v>
      </c>
      <c r="E7">
        <v>0</v>
      </c>
      <c r="G7">
        <f>SUM(C7:F7)</f>
        <v>33734</v>
      </c>
    </row>
    <row r="8" spans="1:7" ht="15.6" x14ac:dyDescent="0.3">
      <c r="A8" s="25" t="s">
        <v>63</v>
      </c>
      <c r="B8" s="25"/>
      <c r="C8" s="25">
        <f>SUM(C4:C7)</f>
        <v>2980</v>
      </c>
      <c r="D8" s="61">
        <f>SUM(D4:D7)</f>
        <v>77916</v>
      </c>
      <c r="E8" s="25">
        <f>SUM(E4:E7)</f>
        <v>335</v>
      </c>
      <c r="F8" s="25"/>
      <c r="G8" s="25">
        <f>SUM(G4:G7)</f>
        <v>81231</v>
      </c>
    </row>
    <row r="10" spans="1:7" x14ac:dyDescent="0.3">
      <c r="A10" s="24" t="s">
        <v>167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>
        <v>0</v>
      </c>
      <c r="D12" s="69">
        <v>188</v>
      </c>
      <c r="G12">
        <f>SUM(C12:E12)</f>
        <v>188</v>
      </c>
    </row>
    <row r="13" spans="1:7" x14ac:dyDescent="0.3">
      <c r="A13" t="s">
        <v>53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140</v>
      </c>
      <c r="C14">
        <v>0</v>
      </c>
      <c r="D14" s="43">
        <v>0</v>
      </c>
      <c r="G14">
        <f>SUM(C14:E14)</f>
        <v>0</v>
      </c>
    </row>
    <row r="15" spans="1:7" x14ac:dyDescent="0.3">
      <c r="A15" t="s">
        <v>54</v>
      </c>
      <c r="C15">
        <v>0</v>
      </c>
      <c r="D15" s="43">
        <v>734</v>
      </c>
      <c r="G15">
        <f>SUM(C15:E15)</f>
        <v>734</v>
      </c>
    </row>
    <row r="16" spans="1:7" ht="15.6" x14ac:dyDescent="0.3">
      <c r="A16" s="25" t="s">
        <v>55</v>
      </c>
      <c r="B16" s="25"/>
      <c r="C16" s="25">
        <f>SUM(C12:C15)</f>
        <v>0</v>
      </c>
      <c r="D16" s="25">
        <f>SUM(D12:D15)</f>
        <v>922</v>
      </c>
      <c r="E16" s="25"/>
      <c r="F16" s="25"/>
      <c r="G16" s="25">
        <f>SUM(G12:G15)</f>
        <v>922</v>
      </c>
    </row>
    <row r="18" spans="1:8" x14ac:dyDescent="0.3">
      <c r="A18" s="29" t="s">
        <v>168</v>
      </c>
      <c r="B18" s="29"/>
      <c r="C18" s="29"/>
      <c r="D18" s="29"/>
      <c r="E18" s="29"/>
      <c r="F18" s="29"/>
      <c r="G18" s="29"/>
    </row>
    <row r="19" spans="1:8" x14ac:dyDescent="0.3">
      <c r="A19" t="s">
        <v>39</v>
      </c>
      <c r="B19" t="s">
        <v>113</v>
      </c>
      <c r="C19" t="s">
        <v>41</v>
      </c>
      <c r="D19" t="s">
        <v>42</v>
      </c>
      <c r="E19" t="s">
        <v>43</v>
      </c>
      <c r="F19" t="s">
        <v>58</v>
      </c>
      <c r="G19" t="s">
        <v>34</v>
      </c>
    </row>
    <row r="20" spans="1:8" x14ac:dyDescent="0.3">
      <c r="A20" t="s">
        <v>35</v>
      </c>
      <c r="B20">
        <v>0</v>
      </c>
      <c r="C20" s="43">
        <v>488</v>
      </c>
      <c r="D20" s="43">
        <v>26</v>
      </c>
      <c r="E20" s="43">
        <v>326</v>
      </c>
      <c r="F20" s="43">
        <v>0</v>
      </c>
      <c r="G20">
        <f>SUM(B20:F20)</f>
        <v>840</v>
      </c>
    </row>
    <row r="21" spans="1:8" x14ac:dyDescent="0.3">
      <c r="A21" t="s">
        <v>36</v>
      </c>
      <c r="B21">
        <v>0</v>
      </c>
      <c r="C21" s="43">
        <v>0</v>
      </c>
      <c r="D21" s="43">
        <v>177</v>
      </c>
      <c r="E21" s="43">
        <v>0</v>
      </c>
      <c r="F21" s="43">
        <v>0</v>
      </c>
      <c r="G21">
        <f>SUM(C21:F21)</f>
        <v>177</v>
      </c>
    </row>
    <row r="22" spans="1:8" x14ac:dyDescent="0.3">
      <c r="A22" t="s">
        <v>37</v>
      </c>
      <c r="C22" s="43">
        <v>316</v>
      </c>
      <c r="D22" s="43">
        <v>0</v>
      </c>
      <c r="E22" s="43">
        <v>116</v>
      </c>
      <c r="F22" s="43">
        <v>4</v>
      </c>
      <c r="G22">
        <f>SUM(B22:F22)</f>
        <v>436</v>
      </c>
    </row>
    <row r="23" spans="1:8" ht="15.6" x14ac:dyDescent="0.3">
      <c r="A23" t="s">
        <v>34</v>
      </c>
      <c r="C23" s="25">
        <f>SUM(C20:C22)</f>
        <v>804</v>
      </c>
      <c r="D23" s="25">
        <f>SUM(D20:D22)</f>
        <v>203</v>
      </c>
      <c r="E23" s="25">
        <f>SUM(E20:E22)</f>
        <v>442</v>
      </c>
      <c r="F23" s="25">
        <f>SUM(F20:F22)</f>
        <v>4</v>
      </c>
      <c r="G23" s="25">
        <f>SUM(G20:G22)</f>
        <v>1453</v>
      </c>
    </row>
    <row r="25" spans="1:8" x14ac:dyDescent="0.3">
      <c r="A25" s="24" t="s">
        <v>169</v>
      </c>
      <c r="B25" s="24"/>
      <c r="C25" s="24"/>
      <c r="D25" s="24"/>
      <c r="E25" s="24"/>
      <c r="F25" s="24"/>
    </row>
    <row r="26" spans="1:8" x14ac:dyDescent="0.3">
      <c r="C26" t="s">
        <v>32</v>
      </c>
      <c r="D26" t="s">
        <v>33</v>
      </c>
      <c r="E26" t="s">
        <v>87</v>
      </c>
      <c r="G26" t="s">
        <v>55</v>
      </c>
    </row>
    <row r="27" spans="1:8" x14ac:dyDescent="0.3">
      <c r="A27" t="s">
        <v>35</v>
      </c>
      <c r="C27">
        <v>2132</v>
      </c>
      <c r="D27" s="43">
        <v>43992</v>
      </c>
      <c r="E27">
        <v>330</v>
      </c>
      <c r="G27">
        <f>SUM(C27:F27)</f>
        <v>46454</v>
      </c>
      <c r="H27" t="s">
        <v>35</v>
      </c>
    </row>
    <row r="28" spans="1:8" x14ac:dyDescent="0.3">
      <c r="A28" t="s">
        <v>36</v>
      </c>
      <c r="C28">
        <v>0</v>
      </c>
      <c r="D28">
        <v>210</v>
      </c>
      <c r="E28">
        <v>0</v>
      </c>
      <c r="G28">
        <f>SUM(C28:F28)</f>
        <v>210</v>
      </c>
      <c r="H28" t="s">
        <v>36</v>
      </c>
    </row>
    <row r="29" spans="1:8" x14ac:dyDescent="0.3">
      <c r="A29" t="s">
        <v>141</v>
      </c>
      <c r="C29">
        <v>0</v>
      </c>
      <c r="D29">
        <v>4</v>
      </c>
      <c r="E29">
        <v>0</v>
      </c>
      <c r="G29">
        <f>SUM(C29:F29)</f>
        <v>4</v>
      </c>
      <c r="H29" t="s">
        <v>141</v>
      </c>
    </row>
    <row r="30" spans="1:8" x14ac:dyDescent="0.3">
      <c r="A30" t="s">
        <v>37</v>
      </c>
      <c r="C30">
        <v>821</v>
      </c>
      <c r="D30" s="43">
        <v>33211</v>
      </c>
      <c r="E30">
        <v>0</v>
      </c>
      <c r="G30">
        <f>SUM(C30:F30)</f>
        <v>34032</v>
      </c>
      <c r="H30" t="s">
        <v>37</v>
      </c>
    </row>
    <row r="31" spans="1:8" ht="15.6" x14ac:dyDescent="0.3">
      <c r="A31" s="25" t="s">
        <v>63</v>
      </c>
      <c r="B31" s="25"/>
      <c r="C31" s="25">
        <f>SUM(C27:C30)</f>
        <v>2953</v>
      </c>
      <c r="D31" s="61">
        <f>SUM(D27:D30)</f>
        <v>77417</v>
      </c>
      <c r="E31" s="25">
        <f>SUM(E27:E30)</f>
        <v>330</v>
      </c>
      <c r="F31" s="25"/>
      <c r="G31" s="25">
        <f>SUM(G27:G30)</f>
        <v>80700</v>
      </c>
    </row>
    <row r="33" spans="1:6" ht="15.6" x14ac:dyDescent="0.3">
      <c r="A33" s="26" t="s">
        <v>170</v>
      </c>
      <c r="B33" s="26"/>
      <c r="C33" s="24"/>
      <c r="D33" s="24"/>
      <c r="E33" s="24"/>
      <c r="F33" s="24"/>
    </row>
    <row r="34" spans="1:6" x14ac:dyDescent="0.3">
      <c r="A34" t="s">
        <v>35</v>
      </c>
      <c r="F34">
        <f>G27-G4</f>
        <v>-652</v>
      </c>
    </row>
    <row r="35" spans="1:6" x14ac:dyDescent="0.3">
      <c r="A35" t="s">
        <v>36</v>
      </c>
      <c r="F35">
        <f>G28-G5</f>
        <v>-177</v>
      </c>
    </row>
    <row r="36" spans="1:6" x14ac:dyDescent="0.3">
      <c r="A36" t="s">
        <v>37</v>
      </c>
      <c r="F36">
        <f>G30-G7</f>
        <v>298</v>
      </c>
    </row>
    <row r="37" spans="1:6" ht="15.6" x14ac:dyDescent="0.3">
      <c r="A37" s="25" t="s">
        <v>34</v>
      </c>
      <c r="B37" s="25"/>
      <c r="C37" s="25"/>
      <c r="D37" s="25"/>
      <c r="E37" s="25"/>
      <c r="F37" s="25">
        <f>SUM(F34:F36)</f>
        <v>-531</v>
      </c>
    </row>
    <row r="39" spans="1:6" x14ac:dyDescent="0.3">
      <c r="A39" t="s">
        <v>46</v>
      </c>
    </row>
    <row r="40" spans="1:6" x14ac:dyDescent="0.3">
      <c r="A40" t="s">
        <v>47</v>
      </c>
    </row>
    <row r="41" spans="1:6" x14ac:dyDescent="0.3">
      <c r="A41" t="s">
        <v>48</v>
      </c>
    </row>
    <row r="42" spans="1:6" x14ac:dyDescent="0.3">
      <c r="A42" t="s">
        <v>49</v>
      </c>
    </row>
    <row r="43" spans="1:6" x14ac:dyDescent="0.3">
      <c r="A43" t="s">
        <v>50</v>
      </c>
    </row>
    <row r="44" spans="1:6" x14ac:dyDescent="0.3">
      <c r="A44" t="s">
        <v>114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24"/>
  <dimension ref="A2:G44"/>
  <sheetViews>
    <sheetView topLeftCell="A18" workbookViewId="0"/>
  </sheetViews>
  <sheetFormatPr defaultRowHeight="14.4" x14ac:dyDescent="0.3"/>
  <sheetData>
    <row r="2" spans="1:7" x14ac:dyDescent="0.3">
      <c r="A2" s="24" t="s">
        <v>171</v>
      </c>
      <c r="B2" s="24"/>
      <c r="C2" s="24"/>
      <c r="D2" s="24"/>
      <c r="E2" s="24"/>
      <c r="F2" s="24"/>
    </row>
    <row r="3" spans="1:7" x14ac:dyDescent="0.3">
      <c r="C3" t="s">
        <v>32</v>
      </c>
      <c r="D3" t="s">
        <v>33</v>
      </c>
      <c r="E3" t="s">
        <v>87</v>
      </c>
      <c r="G3" t="s">
        <v>55</v>
      </c>
    </row>
    <row r="4" spans="1:7" x14ac:dyDescent="0.3">
      <c r="A4" t="s">
        <v>35</v>
      </c>
      <c r="C4">
        <v>2132</v>
      </c>
      <c r="D4" s="43">
        <v>43992</v>
      </c>
      <c r="E4">
        <v>330</v>
      </c>
      <c r="G4">
        <f>SUM(C4:F4)</f>
        <v>46454</v>
      </c>
    </row>
    <row r="5" spans="1:7" x14ac:dyDescent="0.3">
      <c r="A5" t="s">
        <v>36</v>
      </c>
      <c r="C5">
        <v>0</v>
      </c>
      <c r="D5">
        <v>210</v>
      </c>
      <c r="E5">
        <v>0</v>
      </c>
      <c r="G5">
        <f>SUM(C5:F5)</f>
        <v>210</v>
      </c>
    </row>
    <row r="6" spans="1:7" x14ac:dyDescent="0.3">
      <c r="A6" t="s">
        <v>141</v>
      </c>
      <c r="C6">
        <v>0</v>
      </c>
      <c r="D6">
        <v>4</v>
      </c>
      <c r="E6">
        <v>0</v>
      </c>
      <c r="G6">
        <f>SUM(C6:F6)</f>
        <v>4</v>
      </c>
    </row>
    <row r="7" spans="1:7" x14ac:dyDescent="0.3">
      <c r="A7" t="s">
        <v>37</v>
      </c>
      <c r="C7">
        <v>821</v>
      </c>
      <c r="D7" s="43">
        <v>33211</v>
      </c>
      <c r="E7">
        <v>0</v>
      </c>
      <c r="G7">
        <f>SUM(C7:F7)</f>
        <v>34032</v>
      </c>
    </row>
    <row r="8" spans="1:7" ht="15.6" x14ac:dyDescent="0.3">
      <c r="A8" s="25" t="s">
        <v>63</v>
      </c>
      <c r="B8" s="25"/>
      <c r="C8" s="25">
        <f>SUM(C4:C7)</f>
        <v>2953</v>
      </c>
      <c r="D8" s="61">
        <f>SUM(D4:D7)</f>
        <v>77417</v>
      </c>
      <c r="E8" s="25">
        <f>SUM(E4:E7)</f>
        <v>330</v>
      </c>
      <c r="F8" s="25"/>
      <c r="G8" s="25">
        <f>SUM(G4:G7)</f>
        <v>80700</v>
      </c>
    </row>
    <row r="9" spans="1:7" ht="15.6" x14ac:dyDescent="0.3">
      <c r="A9" s="25"/>
      <c r="B9" s="25"/>
      <c r="C9" s="25"/>
      <c r="D9" s="61"/>
      <c r="E9" s="25"/>
      <c r="F9" s="25"/>
      <c r="G9" s="25"/>
    </row>
    <row r="10" spans="1:7" x14ac:dyDescent="0.3">
      <c r="A10" s="24" t="s">
        <v>172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>
        <v>0</v>
      </c>
      <c r="D12" s="69">
        <v>96</v>
      </c>
      <c r="G12">
        <f>SUM(C12:E12)</f>
        <v>96</v>
      </c>
    </row>
    <row r="13" spans="1:7" x14ac:dyDescent="0.3">
      <c r="A13" t="s">
        <v>53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140</v>
      </c>
      <c r="C14">
        <v>0</v>
      </c>
      <c r="D14" s="43">
        <v>0</v>
      </c>
      <c r="G14">
        <f>SUM(C14:E14)</f>
        <v>0</v>
      </c>
    </row>
    <row r="15" spans="1:7" x14ac:dyDescent="0.3">
      <c r="A15" t="s">
        <v>54</v>
      </c>
      <c r="C15">
        <v>0</v>
      </c>
      <c r="D15" s="43">
        <v>933</v>
      </c>
      <c r="G15">
        <f>SUM(C15:E15)</f>
        <v>933</v>
      </c>
    </row>
    <row r="16" spans="1:7" ht="15.6" x14ac:dyDescent="0.3">
      <c r="A16" s="25" t="s">
        <v>55</v>
      </c>
      <c r="B16" s="25"/>
      <c r="C16" s="25">
        <f>SUM(C12:C15)</f>
        <v>0</v>
      </c>
      <c r="D16" s="25">
        <f>SUM(D12:D15)</f>
        <v>1029</v>
      </c>
      <c r="E16" s="25"/>
      <c r="F16" s="25"/>
      <c r="G16" s="25">
        <f>SUM(G12:G15)</f>
        <v>1029</v>
      </c>
    </row>
    <row r="18" spans="1:7" x14ac:dyDescent="0.3">
      <c r="A18" s="29" t="s">
        <v>173</v>
      </c>
      <c r="B18" s="29"/>
      <c r="C18" s="29"/>
      <c r="D18" s="29"/>
      <c r="E18" s="29"/>
      <c r="F18" s="29"/>
      <c r="G18" s="29"/>
    </row>
    <row r="19" spans="1:7" x14ac:dyDescent="0.3">
      <c r="A19" t="s">
        <v>39</v>
      </c>
      <c r="B19" t="s">
        <v>113</v>
      </c>
      <c r="C19" t="s">
        <v>41</v>
      </c>
      <c r="D19" t="s">
        <v>42</v>
      </c>
      <c r="E19" t="s">
        <v>43</v>
      </c>
      <c r="F19" t="s">
        <v>58</v>
      </c>
      <c r="G19" t="s">
        <v>34</v>
      </c>
    </row>
    <row r="20" spans="1:7" x14ac:dyDescent="0.3">
      <c r="A20" t="s">
        <v>35</v>
      </c>
      <c r="B20">
        <v>33</v>
      </c>
      <c r="C20" s="43">
        <v>836</v>
      </c>
      <c r="D20" s="43">
        <v>205</v>
      </c>
      <c r="E20" s="43">
        <v>101</v>
      </c>
      <c r="F20" s="43">
        <v>0</v>
      </c>
      <c r="G20">
        <f>SUM(B20:F20)</f>
        <v>1175</v>
      </c>
    </row>
    <row r="21" spans="1:7" x14ac:dyDescent="0.3">
      <c r="A21" t="s">
        <v>36</v>
      </c>
      <c r="B21">
        <v>0</v>
      </c>
      <c r="C21" s="43">
        <v>0</v>
      </c>
      <c r="D21" s="43">
        <v>69</v>
      </c>
      <c r="E21" s="43">
        <v>0</v>
      </c>
      <c r="F21" s="43">
        <v>0</v>
      </c>
      <c r="G21">
        <f>SUM(B21:F21)</f>
        <v>69</v>
      </c>
    </row>
    <row r="22" spans="1:7" x14ac:dyDescent="0.3">
      <c r="A22" t="s">
        <v>37</v>
      </c>
      <c r="B22">
        <v>1</v>
      </c>
      <c r="C22" s="43">
        <v>378</v>
      </c>
      <c r="D22" s="43">
        <v>9</v>
      </c>
      <c r="E22" s="43">
        <v>56</v>
      </c>
      <c r="F22" s="43">
        <v>7</v>
      </c>
      <c r="G22">
        <f>SUM(B22:F22)</f>
        <v>451</v>
      </c>
    </row>
    <row r="23" spans="1:7" ht="15.6" x14ac:dyDescent="0.3">
      <c r="A23" t="s">
        <v>34</v>
      </c>
      <c r="C23" s="25">
        <f>SUM(C20:C22)</f>
        <v>1214</v>
      </c>
      <c r="D23" s="25">
        <f>SUM(D20:D22)</f>
        <v>283</v>
      </c>
      <c r="E23" s="25">
        <f>SUM(E20:E22)</f>
        <v>157</v>
      </c>
      <c r="F23" s="25">
        <f>SUM(F20:F22)</f>
        <v>7</v>
      </c>
      <c r="G23" s="25">
        <f>SUM(G20:G22)</f>
        <v>1695</v>
      </c>
    </row>
    <row r="25" spans="1:7" x14ac:dyDescent="0.3">
      <c r="A25" s="24" t="s">
        <v>174</v>
      </c>
      <c r="B25" s="24"/>
      <c r="C25" s="24"/>
      <c r="D25" s="24"/>
      <c r="E25" s="24"/>
      <c r="F25" s="24"/>
    </row>
    <row r="26" spans="1:7" x14ac:dyDescent="0.3">
      <c r="C26" t="s">
        <v>32</v>
      </c>
      <c r="D26" t="s">
        <v>33</v>
      </c>
      <c r="E26" t="s">
        <v>87</v>
      </c>
      <c r="G26" t="s">
        <v>55</v>
      </c>
    </row>
    <row r="27" spans="1:7" x14ac:dyDescent="0.3">
      <c r="A27" t="s">
        <v>35</v>
      </c>
      <c r="C27">
        <v>1507</v>
      </c>
      <c r="D27" s="43">
        <v>43542</v>
      </c>
      <c r="E27">
        <v>326</v>
      </c>
      <c r="G27">
        <f>SUM(C27:F27)</f>
        <v>45375</v>
      </c>
    </row>
    <row r="28" spans="1:7" x14ac:dyDescent="0.3">
      <c r="A28" t="s">
        <v>36</v>
      </c>
      <c r="C28">
        <v>0</v>
      </c>
      <c r="D28">
        <v>141</v>
      </c>
      <c r="E28">
        <v>0</v>
      </c>
      <c r="G28">
        <f>SUM(C28:F28)</f>
        <v>141</v>
      </c>
    </row>
    <row r="29" spans="1:7" x14ac:dyDescent="0.3">
      <c r="A29" t="s">
        <v>141</v>
      </c>
      <c r="C29">
        <v>0</v>
      </c>
      <c r="D29">
        <v>4</v>
      </c>
      <c r="E29">
        <v>0</v>
      </c>
      <c r="G29">
        <f>SUM(C29:F29)</f>
        <v>4</v>
      </c>
    </row>
    <row r="30" spans="1:7" x14ac:dyDescent="0.3">
      <c r="A30" t="s">
        <v>37</v>
      </c>
      <c r="C30">
        <v>600</v>
      </c>
      <c r="D30" s="43">
        <v>33914</v>
      </c>
      <c r="E30">
        <v>0</v>
      </c>
      <c r="G30">
        <f>SUM(C30:F30)</f>
        <v>34514</v>
      </c>
    </row>
    <row r="31" spans="1:7" ht="15.6" x14ac:dyDescent="0.3">
      <c r="A31" s="25" t="s">
        <v>63</v>
      </c>
      <c r="B31" s="25"/>
      <c r="C31" s="25">
        <f>SUM(C27:C30)</f>
        <v>2107</v>
      </c>
      <c r="D31" s="61">
        <f>SUM(D27:D30)</f>
        <v>77601</v>
      </c>
      <c r="E31" s="25">
        <f>SUM(E27:E30)</f>
        <v>326</v>
      </c>
      <c r="F31" s="25"/>
      <c r="G31" s="25">
        <f>SUM(G27:G30)</f>
        <v>80034</v>
      </c>
    </row>
    <row r="33" spans="1:6" ht="15.6" x14ac:dyDescent="0.3">
      <c r="A33" s="26" t="s">
        <v>186</v>
      </c>
      <c r="B33" s="26"/>
      <c r="C33" s="24"/>
      <c r="D33" s="24"/>
      <c r="E33" s="24"/>
      <c r="F33" s="24"/>
    </row>
    <row r="34" spans="1:6" x14ac:dyDescent="0.3">
      <c r="A34" t="s">
        <v>35</v>
      </c>
      <c r="F34">
        <f>G27-G4</f>
        <v>-1079</v>
      </c>
    </row>
    <row r="35" spans="1:6" x14ac:dyDescent="0.3">
      <c r="A35" t="s">
        <v>36</v>
      </c>
      <c r="F35">
        <f>G28-G5</f>
        <v>-69</v>
      </c>
    </row>
    <row r="36" spans="1:6" x14ac:dyDescent="0.3">
      <c r="A36" t="s">
        <v>37</v>
      </c>
      <c r="F36">
        <f>G30-G7</f>
        <v>482</v>
      </c>
    </row>
    <row r="37" spans="1:6" ht="15.6" x14ac:dyDescent="0.3">
      <c r="A37" s="25" t="s">
        <v>34</v>
      </c>
      <c r="B37" s="25"/>
      <c r="C37" s="25"/>
      <c r="D37" s="25"/>
      <c r="E37" s="25"/>
      <c r="F37" s="25">
        <f>SUM(F34:F36)</f>
        <v>-666</v>
      </c>
    </row>
    <row r="39" spans="1:6" x14ac:dyDescent="0.3">
      <c r="A39" t="s">
        <v>46</v>
      </c>
    </row>
    <row r="40" spans="1:6" x14ac:dyDescent="0.3">
      <c r="A40" t="s">
        <v>47</v>
      </c>
    </row>
    <row r="41" spans="1:6" x14ac:dyDescent="0.3">
      <c r="A41" t="s">
        <v>48</v>
      </c>
    </row>
    <row r="42" spans="1:6" x14ac:dyDescent="0.3">
      <c r="A42" t="s">
        <v>49</v>
      </c>
    </row>
    <row r="43" spans="1:6" x14ac:dyDescent="0.3">
      <c r="A43" t="s">
        <v>50</v>
      </c>
    </row>
    <row r="44" spans="1:6" x14ac:dyDescent="0.3">
      <c r="A44" t="s">
        <v>114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5"/>
  <dimension ref="A3:G45"/>
  <sheetViews>
    <sheetView topLeftCell="A16" workbookViewId="0"/>
  </sheetViews>
  <sheetFormatPr defaultRowHeight="14.4" x14ac:dyDescent="0.3"/>
  <sheetData>
    <row r="3" spans="1:7" x14ac:dyDescent="0.3">
      <c r="A3" s="24" t="s">
        <v>175</v>
      </c>
      <c r="B3" s="24"/>
      <c r="C3" s="24"/>
      <c r="D3" s="24"/>
      <c r="E3" s="24"/>
      <c r="F3" s="24"/>
    </row>
    <row r="4" spans="1:7" x14ac:dyDescent="0.3">
      <c r="C4" t="s">
        <v>32</v>
      </c>
      <c r="D4" t="s">
        <v>33</v>
      </c>
      <c r="E4" t="s">
        <v>87</v>
      </c>
      <c r="G4" t="s">
        <v>55</v>
      </c>
    </row>
    <row r="5" spans="1:7" x14ac:dyDescent="0.3">
      <c r="A5" t="s">
        <v>35</v>
      </c>
      <c r="C5">
        <v>1507</v>
      </c>
      <c r="D5" s="43">
        <v>43542</v>
      </c>
      <c r="E5">
        <v>326</v>
      </c>
      <c r="G5">
        <f>SUM(C5:F5)</f>
        <v>45375</v>
      </c>
    </row>
    <row r="6" spans="1:7" x14ac:dyDescent="0.3">
      <c r="A6" t="s">
        <v>36</v>
      </c>
      <c r="C6">
        <v>0</v>
      </c>
      <c r="D6">
        <v>141</v>
      </c>
      <c r="E6">
        <v>0</v>
      </c>
      <c r="G6">
        <f>SUM(C6:F6)</f>
        <v>141</v>
      </c>
    </row>
    <row r="7" spans="1:7" x14ac:dyDescent="0.3">
      <c r="A7" t="s">
        <v>141</v>
      </c>
      <c r="C7">
        <v>0</v>
      </c>
      <c r="D7">
        <v>4</v>
      </c>
      <c r="E7">
        <v>0</v>
      </c>
      <c r="G7">
        <f>SUM(C7:F7)</f>
        <v>4</v>
      </c>
    </row>
    <row r="8" spans="1:7" x14ac:dyDescent="0.3">
      <c r="A8" t="s">
        <v>37</v>
      </c>
      <c r="C8">
        <v>600</v>
      </c>
      <c r="D8" s="43">
        <v>33914</v>
      </c>
      <c r="E8">
        <v>0</v>
      </c>
      <c r="G8">
        <f>SUM(C8:F8)</f>
        <v>34514</v>
      </c>
    </row>
    <row r="9" spans="1:7" ht="15.6" x14ac:dyDescent="0.3">
      <c r="A9" s="25" t="s">
        <v>63</v>
      </c>
      <c r="B9" s="25"/>
      <c r="C9" s="25">
        <f>SUM(C5:C8)</f>
        <v>2107</v>
      </c>
      <c r="D9" s="61">
        <f>SUM(D5:D8)</f>
        <v>77601</v>
      </c>
      <c r="E9" s="25">
        <f>SUM(E5:E8)</f>
        <v>326</v>
      </c>
      <c r="F9" s="25"/>
      <c r="G9" s="25">
        <f>SUM(G5:G8)</f>
        <v>80034</v>
      </c>
    </row>
    <row r="10" spans="1:7" ht="15.6" x14ac:dyDescent="0.3">
      <c r="A10" s="25"/>
      <c r="B10" s="25"/>
      <c r="C10" s="25"/>
      <c r="D10" s="61"/>
      <c r="E10" s="25"/>
      <c r="F10" s="25"/>
      <c r="G10" s="25"/>
    </row>
    <row r="11" spans="1:7" x14ac:dyDescent="0.3">
      <c r="A11" s="24" t="s">
        <v>176</v>
      </c>
      <c r="B11" s="24"/>
      <c r="C11" s="24"/>
      <c r="D11" s="24"/>
      <c r="E11" s="24"/>
      <c r="F11" s="24"/>
      <c r="G11" s="24"/>
    </row>
    <row r="12" spans="1:7" x14ac:dyDescent="0.3">
      <c r="C12" t="s">
        <v>57</v>
      </c>
      <c r="D12" t="s">
        <v>33</v>
      </c>
      <c r="G12" t="s">
        <v>56</v>
      </c>
    </row>
    <row r="13" spans="1:7" x14ac:dyDescent="0.3">
      <c r="A13" t="s">
        <v>35</v>
      </c>
      <c r="C13">
        <v>0</v>
      </c>
      <c r="D13" s="69">
        <v>29</v>
      </c>
      <c r="G13">
        <f>SUM(C13:E13)</f>
        <v>29</v>
      </c>
    </row>
    <row r="14" spans="1:7" x14ac:dyDescent="0.3">
      <c r="A14" t="s">
        <v>53</v>
      </c>
      <c r="C14">
        <v>0</v>
      </c>
      <c r="D14" s="43">
        <v>0</v>
      </c>
      <c r="G14">
        <f>SUM(C14:E14)</f>
        <v>0</v>
      </c>
    </row>
    <row r="15" spans="1:7" x14ac:dyDescent="0.3">
      <c r="A15" t="s">
        <v>140</v>
      </c>
      <c r="C15">
        <v>0</v>
      </c>
      <c r="D15" s="43">
        <v>0</v>
      </c>
      <c r="G15">
        <f>SUM(C15:E15)</f>
        <v>0</v>
      </c>
    </row>
    <row r="16" spans="1:7" x14ac:dyDescent="0.3">
      <c r="A16" t="s">
        <v>54</v>
      </c>
      <c r="C16">
        <v>0</v>
      </c>
      <c r="D16" s="43">
        <v>1015</v>
      </c>
      <c r="G16">
        <f>SUM(C16:E16)</f>
        <v>1015</v>
      </c>
    </row>
    <row r="17" spans="1:7" ht="15.6" x14ac:dyDescent="0.3">
      <c r="A17" s="25" t="s">
        <v>55</v>
      </c>
      <c r="B17" s="25"/>
      <c r="C17" s="25">
        <f>SUM(C13:C16)</f>
        <v>0</v>
      </c>
      <c r="D17" s="25">
        <f>SUM(D13:D16)</f>
        <v>1044</v>
      </c>
      <c r="E17" s="25"/>
      <c r="F17" s="25"/>
      <c r="G17" s="25">
        <f>SUM(G13:G16)</f>
        <v>1044</v>
      </c>
    </row>
    <row r="19" spans="1:7" x14ac:dyDescent="0.3">
      <c r="A19" s="29" t="s">
        <v>177</v>
      </c>
      <c r="B19" s="29"/>
      <c r="C19" s="29"/>
      <c r="D19" s="29"/>
      <c r="E19" s="29"/>
      <c r="F19" s="29"/>
      <c r="G19" s="29"/>
    </row>
    <row r="20" spans="1:7" x14ac:dyDescent="0.3">
      <c r="A20" t="s">
        <v>39</v>
      </c>
      <c r="B20" t="s">
        <v>113</v>
      </c>
      <c r="C20" t="s">
        <v>41</v>
      </c>
      <c r="D20" t="s">
        <v>42</v>
      </c>
      <c r="E20" t="s">
        <v>43</v>
      </c>
      <c r="F20" t="s">
        <v>58</v>
      </c>
      <c r="G20" t="s">
        <v>34</v>
      </c>
    </row>
    <row r="21" spans="1:7" x14ac:dyDescent="0.3">
      <c r="A21" t="s">
        <v>35</v>
      </c>
      <c r="B21">
        <v>0</v>
      </c>
      <c r="C21" s="43">
        <v>335</v>
      </c>
      <c r="D21" s="43">
        <v>1</v>
      </c>
      <c r="E21" s="43">
        <v>71</v>
      </c>
      <c r="F21" s="43">
        <v>0</v>
      </c>
      <c r="G21">
        <f>SUM(B21:F21)</f>
        <v>407</v>
      </c>
    </row>
    <row r="22" spans="1:7" x14ac:dyDescent="0.3">
      <c r="A22" t="s">
        <v>36</v>
      </c>
      <c r="B22">
        <v>0</v>
      </c>
      <c r="C22" s="43">
        <v>0</v>
      </c>
      <c r="D22" s="43">
        <v>82</v>
      </c>
      <c r="E22" s="43">
        <v>0</v>
      </c>
      <c r="F22" s="43">
        <v>0</v>
      </c>
      <c r="G22">
        <f>SUM(B22:F22)</f>
        <v>82</v>
      </c>
    </row>
    <row r="23" spans="1:7" x14ac:dyDescent="0.3">
      <c r="A23" t="s">
        <v>37</v>
      </c>
      <c r="B23">
        <v>0</v>
      </c>
      <c r="C23" s="43">
        <v>369</v>
      </c>
      <c r="D23" s="43">
        <v>16</v>
      </c>
      <c r="E23" s="43">
        <v>86</v>
      </c>
      <c r="F23" s="43">
        <v>4</v>
      </c>
      <c r="G23">
        <f>SUM(B23:F23)</f>
        <v>475</v>
      </c>
    </row>
    <row r="24" spans="1:7" ht="15.6" x14ac:dyDescent="0.3">
      <c r="A24" t="s">
        <v>34</v>
      </c>
      <c r="C24" s="25">
        <f>SUM(C21:C23)</f>
        <v>704</v>
      </c>
      <c r="D24" s="25">
        <f>SUM(D21:D23)</f>
        <v>99</v>
      </c>
      <c r="E24" s="25">
        <f>SUM(E21:E23)</f>
        <v>157</v>
      </c>
      <c r="F24" s="25">
        <f>SUM(F21:F23)</f>
        <v>4</v>
      </c>
      <c r="G24" s="25">
        <f>SUM(G21:G23)</f>
        <v>964</v>
      </c>
    </row>
    <row r="26" spans="1:7" x14ac:dyDescent="0.3">
      <c r="A26" s="24" t="s">
        <v>178</v>
      </c>
      <c r="B26" s="24"/>
      <c r="C26" s="24"/>
      <c r="D26" s="24"/>
      <c r="E26" s="24"/>
      <c r="F26" s="24"/>
    </row>
    <row r="27" spans="1:7" x14ac:dyDescent="0.3">
      <c r="C27" t="s">
        <v>32</v>
      </c>
      <c r="D27" t="s">
        <v>33</v>
      </c>
      <c r="E27" t="s">
        <v>87</v>
      </c>
      <c r="G27" t="s">
        <v>55</v>
      </c>
    </row>
    <row r="28" spans="1:7" x14ac:dyDescent="0.3">
      <c r="A28" t="s">
        <v>35</v>
      </c>
      <c r="C28">
        <v>1702</v>
      </c>
      <c r="D28" s="43">
        <v>42971</v>
      </c>
      <c r="E28">
        <v>324</v>
      </c>
      <c r="G28">
        <f>SUM(C28:F28)</f>
        <v>44997</v>
      </c>
    </row>
    <row r="29" spans="1:7" x14ac:dyDescent="0.3">
      <c r="A29" t="s">
        <v>36</v>
      </c>
      <c r="C29">
        <v>0</v>
      </c>
      <c r="D29">
        <v>59</v>
      </c>
      <c r="E29">
        <v>0</v>
      </c>
      <c r="G29">
        <f>SUM(C29:F29)</f>
        <v>59</v>
      </c>
    </row>
    <row r="30" spans="1:7" x14ac:dyDescent="0.3">
      <c r="A30" t="s">
        <v>141</v>
      </c>
      <c r="C30">
        <v>0</v>
      </c>
      <c r="D30">
        <v>4</v>
      </c>
      <c r="E30">
        <v>0</v>
      </c>
      <c r="G30">
        <f>SUM(C30:F30)</f>
        <v>4</v>
      </c>
    </row>
    <row r="31" spans="1:7" x14ac:dyDescent="0.3">
      <c r="A31" t="s">
        <v>37</v>
      </c>
      <c r="C31">
        <v>1490</v>
      </c>
      <c r="D31" s="43">
        <v>33564</v>
      </c>
      <c r="E31">
        <v>0</v>
      </c>
      <c r="G31">
        <f>SUM(C31:F31)</f>
        <v>35054</v>
      </c>
    </row>
    <row r="32" spans="1:7" ht="15.6" x14ac:dyDescent="0.3">
      <c r="A32" s="25" t="s">
        <v>63</v>
      </c>
      <c r="B32" s="25"/>
      <c r="C32" s="25">
        <f>SUM(C28:C31)</f>
        <v>3192</v>
      </c>
      <c r="D32" s="61">
        <f>SUM(D28:D31)</f>
        <v>76598</v>
      </c>
      <c r="E32" s="25">
        <f>SUM(E28:E31)</f>
        <v>324</v>
      </c>
      <c r="F32" s="25"/>
      <c r="G32" s="25">
        <f>SUM(G28:G31)</f>
        <v>80114</v>
      </c>
    </row>
    <row r="34" spans="1:6" ht="15.6" x14ac:dyDescent="0.3">
      <c r="A34" s="26" t="s">
        <v>185</v>
      </c>
      <c r="B34" s="26"/>
      <c r="C34" s="24"/>
      <c r="D34" s="24"/>
      <c r="E34" s="24"/>
      <c r="F34" s="24"/>
    </row>
    <row r="35" spans="1:6" x14ac:dyDescent="0.3">
      <c r="A35" t="s">
        <v>35</v>
      </c>
      <c r="F35">
        <f>G28-G5</f>
        <v>-378</v>
      </c>
    </row>
    <row r="36" spans="1:6" x14ac:dyDescent="0.3">
      <c r="A36" t="s">
        <v>36</v>
      </c>
      <c r="F36">
        <f>G29-G6</f>
        <v>-82</v>
      </c>
    </row>
    <row r="37" spans="1:6" x14ac:dyDescent="0.3">
      <c r="A37" t="s">
        <v>37</v>
      </c>
      <c r="F37">
        <f>G31-G8</f>
        <v>540</v>
      </c>
    </row>
    <row r="38" spans="1:6" ht="15.6" x14ac:dyDescent="0.3">
      <c r="A38" s="25" t="s">
        <v>34</v>
      </c>
      <c r="B38" s="25"/>
      <c r="C38" s="25"/>
      <c r="D38" s="25"/>
      <c r="E38" s="25"/>
      <c r="F38" s="25">
        <f>SUM(F35:F37)</f>
        <v>80</v>
      </c>
    </row>
    <row r="40" spans="1:6" x14ac:dyDescent="0.3">
      <c r="A40" t="s">
        <v>46</v>
      </c>
    </row>
    <row r="41" spans="1:6" x14ac:dyDescent="0.3">
      <c r="A41" t="s">
        <v>47</v>
      </c>
    </row>
    <row r="42" spans="1:6" x14ac:dyDescent="0.3">
      <c r="A42" t="s">
        <v>48</v>
      </c>
    </row>
    <row r="43" spans="1:6" x14ac:dyDescent="0.3">
      <c r="A43" t="s">
        <v>49</v>
      </c>
    </row>
    <row r="44" spans="1:6" x14ac:dyDescent="0.3">
      <c r="A44" t="s">
        <v>50</v>
      </c>
    </row>
    <row r="45" spans="1:6" x14ac:dyDescent="0.3">
      <c r="A45" t="s">
        <v>114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6"/>
  <dimension ref="A3:G45"/>
  <sheetViews>
    <sheetView topLeftCell="A19" workbookViewId="0"/>
  </sheetViews>
  <sheetFormatPr defaultRowHeight="14.4" x14ac:dyDescent="0.3"/>
  <sheetData>
    <row r="3" spans="1:7" x14ac:dyDescent="0.3">
      <c r="A3" s="24" t="s">
        <v>180</v>
      </c>
      <c r="B3" s="24"/>
      <c r="C3" s="24"/>
      <c r="D3" s="24"/>
      <c r="E3" s="24"/>
      <c r="F3" s="24"/>
    </row>
    <row r="4" spans="1:7" x14ac:dyDescent="0.3">
      <c r="C4" t="s">
        <v>32</v>
      </c>
      <c r="D4" t="s">
        <v>33</v>
      </c>
      <c r="E4" t="s">
        <v>87</v>
      </c>
      <c r="G4" t="s">
        <v>55</v>
      </c>
    </row>
    <row r="5" spans="1:7" x14ac:dyDescent="0.3">
      <c r="A5" t="s">
        <v>35</v>
      </c>
      <c r="C5">
        <v>1702</v>
      </c>
      <c r="D5" s="43">
        <v>42971</v>
      </c>
      <c r="E5">
        <v>324</v>
      </c>
      <c r="G5">
        <f>SUM(C5:F5)</f>
        <v>44997</v>
      </c>
    </row>
    <row r="6" spans="1:7" x14ac:dyDescent="0.3">
      <c r="A6" t="s">
        <v>36</v>
      </c>
      <c r="C6">
        <v>0</v>
      </c>
      <c r="D6">
        <v>59</v>
      </c>
      <c r="E6">
        <v>0</v>
      </c>
      <c r="G6">
        <f>SUM(C6:F6)</f>
        <v>59</v>
      </c>
    </row>
    <row r="7" spans="1:7" x14ac:dyDescent="0.3">
      <c r="A7" t="s">
        <v>141</v>
      </c>
      <c r="C7">
        <v>0</v>
      </c>
      <c r="D7">
        <v>4</v>
      </c>
      <c r="E7">
        <v>0</v>
      </c>
      <c r="G7">
        <f>SUM(C7:F7)</f>
        <v>4</v>
      </c>
    </row>
    <row r="8" spans="1:7" x14ac:dyDescent="0.3">
      <c r="A8" t="s">
        <v>37</v>
      </c>
      <c r="C8">
        <v>1490</v>
      </c>
      <c r="D8" s="43">
        <v>33564</v>
      </c>
      <c r="E8">
        <v>0</v>
      </c>
      <c r="G8">
        <f>SUM(C8:F8)</f>
        <v>35054</v>
      </c>
    </row>
    <row r="9" spans="1:7" ht="15.6" x14ac:dyDescent="0.3">
      <c r="A9" s="25" t="s">
        <v>63</v>
      </c>
      <c r="B9" s="25"/>
      <c r="C9" s="25">
        <f>SUM(C5:C8)</f>
        <v>3192</v>
      </c>
      <c r="D9" s="61">
        <f>SUM(D5:D8)</f>
        <v>76598</v>
      </c>
      <c r="E9" s="25">
        <f>SUM(E5:E8)</f>
        <v>324</v>
      </c>
      <c r="F9" s="25"/>
      <c r="G9" s="25">
        <f>SUM(G5:G8)</f>
        <v>80114</v>
      </c>
    </row>
    <row r="10" spans="1:7" ht="15.6" x14ac:dyDescent="0.3">
      <c r="A10" s="25"/>
      <c r="B10" s="25"/>
      <c r="C10" s="25"/>
      <c r="D10" s="61"/>
      <c r="E10" s="25"/>
      <c r="F10" s="25"/>
      <c r="G10" s="25"/>
    </row>
    <row r="11" spans="1:7" x14ac:dyDescent="0.3">
      <c r="A11" s="24" t="s">
        <v>181</v>
      </c>
      <c r="B11" s="24"/>
      <c r="C11" s="24"/>
      <c r="D11" s="24"/>
      <c r="E11" s="24"/>
      <c r="F11" s="24"/>
      <c r="G11" s="24"/>
    </row>
    <row r="12" spans="1:7" x14ac:dyDescent="0.3">
      <c r="C12" t="s">
        <v>57</v>
      </c>
      <c r="D12" t="s">
        <v>33</v>
      </c>
      <c r="G12" t="s">
        <v>56</v>
      </c>
    </row>
    <row r="13" spans="1:7" x14ac:dyDescent="0.3">
      <c r="A13" t="s">
        <v>35</v>
      </c>
      <c r="C13">
        <v>1</v>
      </c>
      <c r="D13" s="69">
        <v>49</v>
      </c>
      <c r="G13">
        <f>SUM(C13:E13)</f>
        <v>50</v>
      </c>
    </row>
    <row r="14" spans="1:7" x14ac:dyDescent="0.3">
      <c r="A14" t="s">
        <v>53</v>
      </c>
      <c r="C14">
        <v>0</v>
      </c>
      <c r="D14" s="43">
        <v>0</v>
      </c>
      <c r="G14">
        <f>SUM(C14:E14)</f>
        <v>0</v>
      </c>
    </row>
    <row r="15" spans="1:7" x14ac:dyDescent="0.3">
      <c r="A15" t="s">
        <v>140</v>
      </c>
      <c r="C15">
        <v>0</v>
      </c>
      <c r="D15" s="43">
        <v>0</v>
      </c>
      <c r="G15">
        <f>SUM(C15:E15)</f>
        <v>0</v>
      </c>
    </row>
    <row r="16" spans="1:7" x14ac:dyDescent="0.3">
      <c r="A16" t="s">
        <v>54</v>
      </c>
      <c r="C16">
        <v>0</v>
      </c>
      <c r="D16" s="43">
        <v>756</v>
      </c>
      <c r="G16">
        <f>SUM(C16:E16)</f>
        <v>756</v>
      </c>
    </row>
    <row r="17" spans="1:7" ht="15.6" x14ac:dyDescent="0.3">
      <c r="A17" s="25" t="s">
        <v>55</v>
      </c>
      <c r="B17" s="25"/>
      <c r="C17" s="25">
        <f>SUM(C13:C16)</f>
        <v>1</v>
      </c>
      <c r="D17" s="25">
        <f>SUM(D13:D16)</f>
        <v>805</v>
      </c>
      <c r="E17" s="25"/>
      <c r="F17" s="25"/>
      <c r="G17" s="25">
        <f>SUM(G13:G16)</f>
        <v>806</v>
      </c>
    </row>
    <row r="19" spans="1:7" x14ac:dyDescent="0.3">
      <c r="A19" s="29" t="s">
        <v>182</v>
      </c>
      <c r="B19" s="29"/>
      <c r="C19" s="29"/>
      <c r="D19" s="29"/>
      <c r="E19" s="29"/>
      <c r="F19" s="29"/>
      <c r="G19" s="29"/>
    </row>
    <row r="20" spans="1:7" x14ac:dyDescent="0.3">
      <c r="A20" t="s">
        <v>39</v>
      </c>
      <c r="B20" t="s">
        <v>113</v>
      </c>
      <c r="C20" t="s">
        <v>41</v>
      </c>
      <c r="D20" t="s">
        <v>42</v>
      </c>
      <c r="E20" t="s">
        <v>43</v>
      </c>
      <c r="F20" t="s">
        <v>58</v>
      </c>
      <c r="G20" t="s">
        <v>34</v>
      </c>
    </row>
    <row r="21" spans="1:7" x14ac:dyDescent="0.3">
      <c r="A21" t="s">
        <v>35</v>
      </c>
      <c r="B21">
        <v>0</v>
      </c>
      <c r="C21" s="43">
        <v>222</v>
      </c>
      <c r="D21" s="43">
        <v>1</v>
      </c>
      <c r="E21" s="43">
        <v>64</v>
      </c>
      <c r="F21" s="43">
        <v>0</v>
      </c>
      <c r="G21">
        <f>SUM(B21:F21)</f>
        <v>287</v>
      </c>
    </row>
    <row r="22" spans="1:7" x14ac:dyDescent="0.3">
      <c r="A22" t="s">
        <v>36</v>
      </c>
      <c r="B22">
        <v>0</v>
      </c>
      <c r="C22" s="43">
        <v>0</v>
      </c>
      <c r="D22" s="43">
        <v>10</v>
      </c>
      <c r="E22" s="43">
        <v>0</v>
      </c>
      <c r="F22" s="43">
        <v>0</v>
      </c>
      <c r="G22">
        <f>SUM(B22:F22)</f>
        <v>10</v>
      </c>
    </row>
    <row r="23" spans="1:7" x14ac:dyDescent="0.3">
      <c r="A23" t="s">
        <v>37</v>
      </c>
      <c r="B23">
        <v>0</v>
      </c>
      <c r="C23" s="43">
        <v>700</v>
      </c>
      <c r="D23" s="43">
        <v>7</v>
      </c>
      <c r="E23" s="43">
        <v>93</v>
      </c>
      <c r="F23" s="43">
        <v>3</v>
      </c>
      <c r="G23">
        <f>SUM(B23:F23)</f>
        <v>803</v>
      </c>
    </row>
    <row r="24" spans="1:7" ht="15.6" x14ac:dyDescent="0.3">
      <c r="A24" t="s">
        <v>34</v>
      </c>
      <c r="C24" s="25">
        <f>SUM(C21:C23)</f>
        <v>922</v>
      </c>
      <c r="D24" s="25">
        <f>SUM(D21:D23)</f>
        <v>18</v>
      </c>
      <c r="E24" s="25">
        <f>SUM(E21:E23)</f>
        <v>157</v>
      </c>
      <c r="F24" s="25">
        <v>3</v>
      </c>
      <c r="G24" s="25">
        <f>SUM(G21:G23)</f>
        <v>1100</v>
      </c>
    </row>
    <row r="26" spans="1:7" x14ac:dyDescent="0.3">
      <c r="A26" s="24" t="s">
        <v>183</v>
      </c>
      <c r="B26" s="24"/>
      <c r="C26" s="24"/>
      <c r="D26" s="24"/>
      <c r="E26" s="24"/>
      <c r="F26" s="24"/>
    </row>
    <row r="27" spans="1:7" x14ac:dyDescent="0.3">
      <c r="C27" t="s">
        <v>32</v>
      </c>
      <c r="D27" t="s">
        <v>33</v>
      </c>
      <c r="E27" t="s">
        <v>87</v>
      </c>
      <c r="G27" t="s">
        <v>55</v>
      </c>
    </row>
    <row r="28" spans="1:7" x14ac:dyDescent="0.3">
      <c r="A28" t="s">
        <v>35</v>
      </c>
      <c r="C28">
        <v>3605</v>
      </c>
      <c r="D28" s="43">
        <v>40836</v>
      </c>
      <c r="E28">
        <v>319</v>
      </c>
      <c r="G28">
        <f>SUM(C28:F28)</f>
        <v>44760</v>
      </c>
    </row>
    <row r="29" spans="1:7" x14ac:dyDescent="0.3">
      <c r="A29" t="s">
        <v>36</v>
      </c>
      <c r="C29">
        <v>0</v>
      </c>
      <c r="D29">
        <v>49</v>
      </c>
      <c r="E29">
        <v>0</v>
      </c>
      <c r="G29">
        <f>SUM(C29:F29)</f>
        <v>49</v>
      </c>
    </row>
    <row r="30" spans="1:7" x14ac:dyDescent="0.3">
      <c r="A30" t="s">
        <v>141</v>
      </c>
      <c r="C30">
        <v>0</v>
      </c>
      <c r="D30">
        <v>4</v>
      </c>
      <c r="E30">
        <v>0</v>
      </c>
      <c r="G30">
        <f>SUM(C30:F30)</f>
        <v>4</v>
      </c>
    </row>
    <row r="31" spans="1:7" x14ac:dyDescent="0.3">
      <c r="A31" t="s">
        <v>37</v>
      </c>
      <c r="C31">
        <v>2179</v>
      </c>
      <c r="D31" s="43">
        <v>32828</v>
      </c>
      <c r="E31">
        <v>0</v>
      </c>
      <c r="G31">
        <f>SUM(C31:F31)</f>
        <v>35007</v>
      </c>
    </row>
    <row r="32" spans="1:7" ht="15.6" x14ac:dyDescent="0.3">
      <c r="A32" s="25" t="s">
        <v>63</v>
      </c>
      <c r="B32" s="25"/>
      <c r="C32" s="25">
        <f>SUM(C28:C31)</f>
        <v>5784</v>
      </c>
      <c r="D32" s="61">
        <f>SUM(D28:D31)</f>
        <v>73717</v>
      </c>
      <c r="E32" s="25">
        <f>SUM(E28:E31)</f>
        <v>319</v>
      </c>
      <c r="F32" s="25"/>
      <c r="G32" s="25">
        <f>SUM(G28:G31)</f>
        <v>79820</v>
      </c>
    </row>
    <row r="34" spans="1:6" ht="15.6" x14ac:dyDescent="0.3">
      <c r="A34" s="26" t="s">
        <v>184</v>
      </c>
      <c r="B34" s="26"/>
      <c r="C34" s="24"/>
      <c r="D34" s="24"/>
      <c r="E34" s="24"/>
      <c r="F34" s="24"/>
    </row>
    <row r="35" spans="1:6" x14ac:dyDescent="0.3">
      <c r="A35" t="s">
        <v>35</v>
      </c>
      <c r="F35">
        <f>G28-G5</f>
        <v>-237</v>
      </c>
    </row>
    <row r="36" spans="1:6" x14ac:dyDescent="0.3">
      <c r="A36" t="s">
        <v>36</v>
      </c>
      <c r="F36">
        <f>G29-G6</f>
        <v>-10</v>
      </c>
    </row>
    <row r="37" spans="1:6" x14ac:dyDescent="0.3">
      <c r="A37" t="s">
        <v>37</v>
      </c>
      <c r="F37">
        <f>G31-G8</f>
        <v>-47</v>
      </c>
    </row>
    <row r="38" spans="1:6" ht="15.6" x14ac:dyDescent="0.3">
      <c r="A38" s="25" t="s">
        <v>34</v>
      </c>
      <c r="B38" s="25"/>
      <c r="C38" s="25"/>
      <c r="D38" s="25"/>
      <c r="E38" s="25"/>
      <c r="F38" s="25">
        <f>SUM(F35:F37)</f>
        <v>-294</v>
      </c>
    </row>
    <row r="40" spans="1:6" x14ac:dyDescent="0.3">
      <c r="A40" t="s">
        <v>46</v>
      </c>
    </row>
    <row r="41" spans="1:6" x14ac:dyDescent="0.3">
      <c r="A41" t="s">
        <v>47</v>
      </c>
    </row>
    <row r="42" spans="1:6" x14ac:dyDescent="0.3">
      <c r="A42" t="s">
        <v>48</v>
      </c>
    </row>
    <row r="43" spans="1:6" x14ac:dyDescent="0.3">
      <c r="A43" t="s">
        <v>49</v>
      </c>
    </row>
    <row r="44" spans="1:6" x14ac:dyDescent="0.3">
      <c r="A44" t="s">
        <v>50</v>
      </c>
    </row>
    <row r="45" spans="1:6" x14ac:dyDescent="0.3">
      <c r="A45" t="s">
        <v>114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7"/>
  <dimension ref="A3:G45"/>
  <sheetViews>
    <sheetView topLeftCell="A4" workbookViewId="0"/>
  </sheetViews>
  <sheetFormatPr defaultRowHeight="14.4" x14ac:dyDescent="0.3"/>
  <sheetData>
    <row r="3" spans="1:7" x14ac:dyDescent="0.3">
      <c r="A3" s="24" t="s">
        <v>187</v>
      </c>
      <c r="B3" s="24"/>
      <c r="C3" s="24"/>
      <c r="D3" s="24"/>
      <c r="E3" s="24"/>
      <c r="F3" s="24"/>
    </row>
    <row r="4" spans="1:7" x14ac:dyDescent="0.3">
      <c r="C4" t="s">
        <v>32</v>
      </c>
      <c r="D4" t="s">
        <v>33</v>
      </c>
      <c r="E4" t="s">
        <v>87</v>
      </c>
      <c r="G4" t="s">
        <v>55</v>
      </c>
    </row>
    <row r="5" spans="1:7" x14ac:dyDescent="0.3">
      <c r="A5" t="s">
        <v>35</v>
      </c>
      <c r="C5">
        <v>3605</v>
      </c>
      <c r="D5" s="43">
        <v>40836</v>
      </c>
      <c r="E5">
        <v>319</v>
      </c>
      <c r="G5">
        <f>SUM(C5:F5)</f>
        <v>44760</v>
      </c>
    </row>
    <row r="6" spans="1:7" x14ac:dyDescent="0.3">
      <c r="A6" t="s">
        <v>36</v>
      </c>
      <c r="C6">
        <v>0</v>
      </c>
      <c r="D6">
        <v>49</v>
      </c>
      <c r="E6">
        <v>0</v>
      </c>
      <c r="G6">
        <f>SUM(C6:F6)</f>
        <v>49</v>
      </c>
    </row>
    <row r="7" spans="1:7" x14ac:dyDescent="0.3">
      <c r="A7" t="s">
        <v>141</v>
      </c>
      <c r="C7">
        <v>0</v>
      </c>
      <c r="D7">
        <v>4</v>
      </c>
      <c r="E7">
        <v>0</v>
      </c>
      <c r="G7">
        <f>SUM(C7:F7)</f>
        <v>4</v>
      </c>
    </row>
    <row r="8" spans="1:7" x14ac:dyDescent="0.3">
      <c r="A8" t="s">
        <v>37</v>
      </c>
      <c r="C8">
        <v>2179</v>
      </c>
      <c r="D8" s="43">
        <v>32828</v>
      </c>
      <c r="E8">
        <v>0</v>
      </c>
      <c r="G8">
        <f>SUM(C8:F8)</f>
        <v>35007</v>
      </c>
    </row>
    <row r="9" spans="1:7" ht="15.6" x14ac:dyDescent="0.3">
      <c r="A9" s="25" t="s">
        <v>63</v>
      </c>
      <c r="B9" s="25"/>
      <c r="C9" s="25">
        <f>SUM(C5:C8)</f>
        <v>5784</v>
      </c>
      <c r="D9" s="61">
        <f>SUM(D5:D8)</f>
        <v>73717</v>
      </c>
      <c r="E9" s="25">
        <f>SUM(E5:E8)</f>
        <v>319</v>
      </c>
      <c r="F9" s="25"/>
      <c r="G9" s="25">
        <f>SUM(G5:G8)</f>
        <v>79820</v>
      </c>
    </row>
    <row r="10" spans="1:7" ht="15.6" x14ac:dyDescent="0.3">
      <c r="A10" s="25"/>
      <c r="B10" s="25"/>
      <c r="C10" s="25"/>
      <c r="D10" s="61"/>
      <c r="E10" s="25"/>
      <c r="F10" s="25"/>
      <c r="G10" s="25"/>
    </row>
    <row r="11" spans="1:7" x14ac:dyDescent="0.3">
      <c r="A11" s="24" t="s">
        <v>188</v>
      </c>
      <c r="B11" s="24"/>
      <c r="C11" s="24"/>
      <c r="D11" s="24"/>
      <c r="E11" s="24"/>
      <c r="F11" s="24"/>
      <c r="G11" s="24"/>
    </row>
    <row r="12" spans="1:7" x14ac:dyDescent="0.3">
      <c r="C12" t="s">
        <v>57</v>
      </c>
      <c r="D12" t="s">
        <v>33</v>
      </c>
      <c r="G12" t="s">
        <v>56</v>
      </c>
    </row>
    <row r="13" spans="1:7" x14ac:dyDescent="0.3">
      <c r="A13" t="s">
        <v>35</v>
      </c>
      <c r="C13">
        <v>0</v>
      </c>
      <c r="D13" s="69">
        <v>84</v>
      </c>
      <c r="G13">
        <f>SUM(C13:E13)</f>
        <v>84</v>
      </c>
    </row>
    <row r="14" spans="1:7" x14ac:dyDescent="0.3">
      <c r="A14" t="s">
        <v>53</v>
      </c>
      <c r="C14">
        <v>0</v>
      </c>
      <c r="D14" s="43">
        <v>0</v>
      </c>
      <c r="G14">
        <f>SUM(C14:E14)</f>
        <v>0</v>
      </c>
    </row>
    <row r="15" spans="1:7" x14ac:dyDescent="0.3">
      <c r="A15" t="s">
        <v>140</v>
      </c>
      <c r="C15">
        <v>0</v>
      </c>
      <c r="D15" s="43">
        <v>0</v>
      </c>
      <c r="G15">
        <f>SUM(C15:E15)</f>
        <v>0</v>
      </c>
    </row>
    <row r="16" spans="1:7" x14ac:dyDescent="0.3">
      <c r="A16" t="s">
        <v>54</v>
      </c>
      <c r="C16">
        <v>1</v>
      </c>
      <c r="D16" s="43">
        <v>2233</v>
      </c>
      <c r="G16">
        <f>SUM(C16:E16)</f>
        <v>2234</v>
      </c>
    </row>
    <row r="17" spans="1:7" ht="15.6" x14ac:dyDescent="0.3">
      <c r="A17" s="25" t="s">
        <v>55</v>
      </c>
      <c r="B17" s="25"/>
      <c r="C17" s="25">
        <f>SUM(C13:C16)</f>
        <v>1</v>
      </c>
      <c r="D17" s="25">
        <f>SUM(D13:D16)</f>
        <v>2317</v>
      </c>
      <c r="E17" s="25"/>
      <c r="F17" s="25"/>
      <c r="G17" s="25">
        <f>SUM(G13:G16)</f>
        <v>2318</v>
      </c>
    </row>
    <row r="19" spans="1:7" x14ac:dyDescent="0.3">
      <c r="A19" s="29" t="s">
        <v>189</v>
      </c>
      <c r="B19" s="29"/>
      <c r="C19" s="29"/>
      <c r="D19" s="29"/>
      <c r="E19" s="29"/>
      <c r="F19" s="29"/>
      <c r="G19" s="29"/>
    </row>
    <row r="20" spans="1:7" x14ac:dyDescent="0.3">
      <c r="A20" t="s">
        <v>39</v>
      </c>
      <c r="B20" t="s">
        <v>113</v>
      </c>
      <c r="C20" t="s">
        <v>41</v>
      </c>
      <c r="D20" t="s">
        <v>42</v>
      </c>
      <c r="E20" t="s">
        <v>43</v>
      </c>
      <c r="F20" t="s">
        <v>58</v>
      </c>
      <c r="G20" t="s">
        <v>34</v>
      </c>
    </row>
    <row r="21" spans="1:7" x14ac:dyDescent="0.3">
      <c r="A21" t="s">
        <v>35</v>
      </c>
      <c r="B21">
        <v>0</v>
      </c>
      <c r="C21" s="43">
        <v>229</v>
      </c>
      <c r="D21" s="43">
        <v>231</v>
      </c>
      <c r="E21" s="43">
        <v>40</v>
      </c>
      <c r="F21" s="43">
        <v>0</v>
      </c>
      <c r="G21">
        <f>SUM(B21:F21)</f>
        <v>500</v>
      </c>
    </row>
    <row r="22" spans="1:7" x14ac:dyDescent="0.3">
      <c r="A22" t="s">
        <v>36</v>
      </c>
      <c r="B22">
        <v>0</v>
      </c>
      <c r="C22" s="43">
        <v>0</v>
      </c>
      <c r="D22" s="43">
        <v>2</v>
      </c>
      <c r="E22" s="43">
        <v>0</v>
      </c>
      <c r="F22" s="43">
        <v>0</v>
      </c>
      <c r="G22">
        <f>SUM(B22:F22)</f>
        <v>2</v>
      </c>
    </row>
    <row r="23" spans="1:7" x14ac:dyDescent="0.3">
      <c r="A23" t="s">
        <v>37</v>
      </c>
      <c r="B23">
        <v>0</v>
      </c>
      <c r="C23" s="43">
        <v>596</v>
      </c>
      <c r="D23" s="43">
        <v>14</v>
      </c>
      <c r="E23" s="43">
        <v>78</v>
      </c>
      <c r="F23" s="43">
        <v>5</v>
      </c>
      <c r="G23">
        <f>SUM(B23:F23)</f>
        <v>693</v>
      </c>
    </row>
    <row r="24" spans="1:7" ht="15.6" x14ac:dyDescent="0.3">
      <c r="A24" t="s">
        <v>34</v>
      </c>
      <c r="C24" s="25">
        <f>SUM(C21:C23)</f>
        <v>825</v>
      </c>
      <c r="D24" s="25">
        <f>SUM(D21:D23)</f>
        <v>247</v>
      </c>
      <c r="E24" s="25">
        <f>SUM(E21:E23)</f>
        <v>118</v>
      </c>
      <c r="F24" s="25">
        <v>3</v>
      </c>
      <c r="G24" s="25">
        <f>SUM(G21:G23)</f>
        <v>1195</v>
      </c>
    </row>
    <row r="26" spans="1:7" x14ac:dyDescent="0.3">
      <c r="A26" s="24" t="s">
        <v>190</v>
      </c>
      <c r="B26" s="24"/>
      <c r="C26" s="24"/>
      <c r="D26" s="24"/>
      <c r="E26" s="24"/>
      <c r="F26" s="24"/>
    </row>
    <row r="27" spans="1:7" x14ac:dyDescent="0.3">
      <c r="C27" t="s">
        <v>32</v>
      </c>
      <c r="D27" t="s">
        <v>33</v>
      </c>
      <c r="E27" t="s">
        <v>87</v>
      </c>
      <c r="G27" t="s">
        <v>55</v>
      </c>
    </row>
    <row r="28" spans="1:7" x14ac:dyDescent="0.3">
      <c r="A28" t="s">
        <v>35</v>
      </c>
      <c r="C28">
        <v>5628</v>
      </c>
      <c r="D28" s="43">
        <v>38407</v>
      </c>
      <c r="E28">
        <v>309</v>
      </c>
      <c r="G28">
        <f>SUM(C28:F28)</f>
        <v>44344</v>
      </c>
    </row>
    <row r="29" spans="1:7" x14ac:dyDescent="0.3">
      <c r="A29" t="s">
        <v>36</v>
      </c>
      <c r="C29">
        <v>0</v>
      </c>
      <c r="D29">
        <v>47</v>
      </c>
      <c r="E29">
        <v>0</v>
      </c>
      <c r="G29">
        <f>SUM(C29:F29)</f>
        <v>47</v>
      </c>
    </row>
    <row r="30" spans="1:7" x14ac:dyDescent="0.3">
      <c r="A30" t="s">
        <v>141</v>
      </c>
      <c r="C30">
        <v>0</v>
      </c>
      <c r="D30">
        <v>4</v>
      </c>
      <c r="E30">
        <v>0</v>
      </c>
      <c r="G30">
        <f>SUM(C30:F30)</f>
        <v>4</v>
      </c>
    </row>
    <row r="31" spans="1:7" x14ac:dyDescent="0.3">
      <c r="A31" t="s">
        <v>37</v>
      </c>
      <c r="C31">
        <v>2229</v>
      </c>
      <c r="D31" s="43">
        <v>34319</v>
      </c>
      <c r="E31">
        <v>0</v>
      </c>
      <c r="G31">
        <f>SUM(C31:F31)</f>
        <v>36548</v>
      </c>
    </row>
    <row r="32" spans="1:7" ht="15.6" x14ac:dyDescent="0.3">
      <c r="A32" s="25" t="s">
        <v>63</v>
      </c>
      <c r="B32" s="25"/>
      <c r="C32" s="25">
        <f>SUM(C28:C31)</f>
        <v>7857</v>
      </c>
      <c r="D32" s="61">
        <f>SUM(D28:D31)</f>
        <v>72777</v>
      </c>
      <c r="E32" s="25">
        <f>SUM(E28:E31)</f>
        <v>309</v>
      </c>
      <c r="F32" s="25"/>
      <c r="G32" s="25">
        <f>SUM(G28:G31)</f>
        <v>80943</v>
      </c>
    </row>
    <row r="34" spans="1:6" ht="15.6" x14ac:dyDescent="0.3">
      <c r="A34" s="26" t="s">
        <v>191</v>
      </c>
      <c r="B34" s="26"/>
      <c r="C34" s="24"/>
      <c r="D34" s="24"/>
      <c r="E34" s="24"/>
      <c r="F34" s="24"/>
    </row>
    <row r="35" spans="1:6" x14ac:dyDescent="0.3">
      <c r="A35" t="s">
        <v>35</v>
      </c>
      <c r="F35">
        <f>G28-G5</f>
        <v>-416</v>
      </c>
    </row>
    <row r="36" spans="1:6" x14ac:dyDescent="0.3">
      <c r="A36" t="s">
        <v>36</v>
      </c>
      <c r="F36">
        <f>G29-G6</f>
        <v>-2</v>
      </c>
    </row>
    <row r="37" spans="1:6" x14ac:dyDescent="0.3">
      <c r="A37" t="s">
        <v>37</v>
      </c>
      <c r="F37">
        <f>G31-G8</f>
        <v>1541</v>
      </c>
    </row>
    <row r="38" spans="1:6" ht="15.6" x14ac:dyDescent="0.3">
      <c r="A38" s="25" t="s">
        <v>34</v>
      </c>
      <c r="B38" s="25"/>
      <c r="C38" s="25"/>
      <c r="D38" s="25"/>
      <c r="E38" s="25"/>
      <c r="F38" s="25">
        <f>SUM(F35:F37)</f>
        <v>1123</v>
      </c>
    </row>
    <row r="40" spans="1:6" x14ac:dyDescent="0.3">
      <c r="A40" t="s">
        <v>46</v>
      </c>
    </row>
    <row r="41" spans="1:6" x14ac:dyDescent="0.3">
      <c r="A41" t="s">
        <v>47</v>
      </c>
    </row>
    <row r="42" spans="1:6" x14ac:dyDescent="0.3">
      <c r="A42" t="s">
        <v>48</v>
      </c>
    </row>
    <row r="43" spans="1:6" x14ac:dyDescent="0.3">
      <c r="A43" t="s">
        <v>49</v>
      </c>
    </row>
    <row r="44" spans="1:6" x14ac:dyDescent="0.3">
      <c r="A44" t="s">
        <v>50</v>
      </c>
    </row>
    <row r="45" spans="1:6" x14ac:dyDescent="0.3">
      <c r="A45" t="s">
        <v>114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8"/>
  <dimension ref="A3:G45"/>
  <sheetViews>
    <sheetView workbookViewId="0"/>
  </sheetViews>
  <sheetFormatPr defaultRowHeight="14.4" x14ac:dyDescent="0.3"/>
  <sheetData>
    <row r="3" spans="1:7" x14ac:dyDescent="0.3">
      <c r="A3" s="24" t="s">
        <v>193</v>
      </c>
      <c r="B3" s="24"/>
      <c r="C3" s="24"/>
      <c r="D3" s="24"/>
      <c r="E3" s="24"/>
      <c r="F3" s="24"/>
    </row>
    <row r="4" spans="1:7" x14ac:dyDescent="0.3">
      <c r="C4" t="s">
        <v>32</v>
      </c>
      <c r="D4" t="s">
        <v>33</v>
      </c>
      <c r="E4" t="s">
        <v>87</v>
      </c>
      <c r="G4" t="s">
        <v>55</v>
      </c>
    </row>
    <row r="5" spans="1:7" x14ac:dyDescent="0.3">
      <c r="A5" t="s">
        <v>35</v>
      </c>
      <c r="C5">
        <v>5628</v>
      </c>
      <c r="D5" s="43">
        <v>38407</v>
      </c>
      <c r="E5">
        <v>309</v>
      </c>
      <c r="G5">
        <f>SUM(C5:F5)</f>
        <v>44344</v>
      </c>
    </row>
    <row r="6" spans="1:7" x14ac:dyDescent="0.3">
      <c r="A6" t="s">
        <v>36</v>
      </c>
      <c r="C6">
        <v>0</v>
      </c>
      <c r="D6">
        <v>47</v>
      </c>
      <c r="E6">
        <v>0</v>
      </c>
      <c r="G6">
        <f>SUM(C6:F6)</f>
        <v>47</v>
      </c>
    </row>
    <row r="7" spans="1:7" x14ac:dyDescent="0.3">
      <c r="A7" t="s">
        <v>141</v>
      </c>
      <c r="C7">
        <v>0</v>
      </c>
      <c r="D7">
        <v>4</v>
      </c>
      <c r="E7">
        <v>0</v>
      </c>
      <c r="G7">
        <f>SUM(C7:F7)</f>
        <v>4</v>
      </c>
    </row>
    <row r="8" spans="1:7" x14ac:dyDescent="0.3">
      <c r="A8" t="s">
        <v>37</v>
      </c>
      <c r="C8">
        <v>2229</v>
      </c>
      <c r="D8" s="43">
        <v>34319</v>
      </c>
      <c r="E8">
        <v>0</v>
      </c>
      <c r="G8">
        <f>SUM(C8:F8)</f>
        <v>36548</v>
      </c>
    </row>
    <row r="9" spans="1:7" ht="15.6" x14ac:dyDescent="0.3">
      <c r="A9" s="25" t="s">
        <v>63</v>
      </c>
      <c r="B9" s="25"/>
      <c r="C9" s="25">
        <f>SUM(C5:C8)</f>
        <v>7857</v>
      </c>
      <c r="D9" s="61">
        <f>SUM(D5:D8)</f>
        <v>72777</v>
      </c>
      <c r="E9" s="25">
        <f>SUM(E5:E8)</f>
        <v>309</v>
      </c>
      <c r="F9" s="25"/>
      <c r="G9" s="25">
        <f>SUM(G5:G8)</f>
        <v>80943</v>
      </c>
    </row>
    <row r="10" spans="1:7" ht="15.6" x14ac:dyDescent="0.3">
      <c r="A10" s="25"/>
      <c r="B10" s="25"/>
      <c r="C10" s="25"/>
      <c r="D10" s="61"/>
      <c r="E10" s="25"/>
      <c r="F10" s="25"/>
      <c r="G10" s="25"/>
    </row>
    <row r="11" spans="1:7" x14ac:dyDescent="0.3">
      <c r="A11" s="24" t="s">
        <v>194</v>
      </c>
      <c r="B11" s="24"/>
      <c r="C11" s="24"/>
      <c r="D11" s="24"/>
      <c r="E11" s="24"/>
      <c r="F11" s="24"/>
      <c r="G11" s="24"/>
    </row>
    <row r="12" spans="1:7" x14ac:dyDescent="0.3">
      <c r="C12" t="s">
        <v>57</v>
      </c>
      <c r="D12" t="s">
        <v>33</v>
      </c>
      <c r="G12" t="s">
        <v>56</v>
      </c>
    </row>
    <row r="13" spans="1:7" x14ac:dyDescent="0.3">
      <c r="A13" t="s">
        <v>35</v>
      </c>
      <c r="C13">
        <v>0</v>
      </c>
      <c r="D13" s="69">
        <v>90</v>
      </c>
      <c r="G13">
        <f>SUM(C13:E13)</f>
        <v>90</v>
      </c>
    </row>
    <row r="14" spans="1:7" x14ac:dyDescent="0.3">
      <c r="A14" t="s">
        <v>53</v>
      </c>
      <c r="C14">
        <v>0</v>
      </c>
      <c r="D14" s="43">
        <v>0</v>
      </c>
      <c r="G14">
        <f>SUM(C14:E14)</f>
        <v>0</v>
      </c>
    </row>
    <row r="15" spans="1:7" x14ac:dyDescent="0.3">
      <c r="A15" t="s">
        <v>140</v>
      </c>
      <c r="C15">
        <v>0</v>
      </c>
      <c r="D15" s="43">
        <v>0</v>
      </c>
      <c r="G15">
        <f>SUM(C15:E15)</f>
        <v>0</v>
      </c>
    </row>
    <row r="16" spans="1:7" x14ac:dyDescent="0.3">
      <c r="A16" t="s">
        <v>54</v>
      </c>
      <c r="C16">
        <v>0</v>
      </c>
      <c r="D16" s="43">
        <v>714</v>
      </c>
      <c r="G16">
        <f>SUM(C16:E16)</f>
        <v>714</v>
      </c>
    </row>
    <row r="17" spans="1:7" ht="15.6" x14ac:dyDescent="0.3">
      <c r="A17" s="25" t="s">
        <v>55</v>
      </c>
      <c r="B17" s="25"/>
      <c r="C17" s="25">
        <f>SUM(C13:C16)</f>
        <v>0</v>
      </c>
      <c r="D17" s="25">
        <f>SUM(D13:D16)</f>
        <v>804</v>
      </c>
      <c r="E17" s="25"/>
      <c r="F17" s="25"/>
      <c r="G17" s="25">
        <f>SUM(G13:G16)</f>
        <v>804</v>
      </c>
    </row>
    <row r="19" spans="1:7" x14ac:dyDescent="0.3">
      <c r="A19" s="29" t="s">
        <v>195</v>
      </c>
      <c r="B19" s="29"/>
      <c r="C19" s="29"/>
      <c r="D19" s="29"/>
      <c r="E19" s="29"/>
      <c r="F19" s="29"/>
      <c r="G19" s="29"/>
    </row>
    <row r="20" spans="1:7" x14ac:dyDescent="0.3">
      <c r="A20" t="s">
        <v>39</v>
      </c>
      <c r="B20" t="s">
        <v>113</v>
      </c>
      <c r="C20" t="s">
        <v>41</v>
      </c>
      <c r="D20" t="s">
        <v>42</v>
      </c>
      <c r="E20" t="s">
        <v>43</v>
      </c>
      <c r="F20" t="s">
        <v>58</v>
      </c>
      <c r="G20" t="s">
        <v>34</v>
      </c>
    </row>
    <row r="21" spans="1:7" x14ac:dyDescent="0.3">
      <c r="A21" t="s">
        <v>35</v>
      </c>
      <c r="B21">
        <v>0</v>
      </c>
      <c r="C21" s="43">
        <v>351</v>
      </c>
      <c r="D21" s="43">
        <v>9</v>
      </c>
      <c r="E21" s="43">
        <v>23</v>
      </c>
      <c r="F21" s="43">
        <v>1</v>
      </c>
      <c r="G21">
        <f>SUM(B21:F21)</f>
        <v>384</v>
      </c>
    </row>
    <row r="22" spans="1:7" x14ac:dyDescent="0.3">
      <c r="A22" t="s">
        <v>36</v>
      </c>
      <c r="B22">
        <v>0</v>
      </c>
      <c r="C22" s="43">
        <v>0</v>
      </c>
      <c r="D22" s="43">
        <v>5</v>
      </c>
      <c r="E22" s="43">
        <v>0</v>
      </c>
      <c r="F22" s="43">
        <v>0</v>
      </c>
      <c r="G22">
        <f>SUM(B22:F22)</f>
        <v>5</v>
      </c>
    </row>
    <row r="23" spans="1:7" x14ac:dyDescent="0.3">
      <c r="A23" t="s">
        <v>37</v>
      </c>
      <c r="B23">
        <v>0</v>
      </c>
      <c r="C23" s="43">
        <v>995</v>
      </c>
      <c r="D23" s="43">
        <v>12</v>
      </c>
      <c r="E23" s="43">
        <v>102</v>
      </c>
      <c r="F23" s="43">
        <v>6</v>
      </c>
      <c r="G23">
        <f>SUM(B23:F23)</f>
        <v>1115</v>
      </c>
    </row>
    <row r="24" spans="1:7" ht="15.6" x14ac:dyDescent="0.3">
      <c r="A24" t="s">
        <v>34</v>
      </c>
      <c r="C24" s="25">
        <f>SUM(C21:C23)</f>
        <v>1346</v>
      </c>
      <c r="D24" s="25">
        <f>SUM(D21:D23)</f>
        <v>26</v>
      </c>
      <c r="E24" s="25">
        <f>SUM(E21:E23)</f>
        <v>125</v>
      </c>
      <c r="F24" s="25">
        <v>3</v>
      </c>
      <c r="G24" s="25">
        <f>SUM(G21:G23)</f>
        <v>1504</v>
      </c>
    </row>
    <row r="26" spans="1:7" x14ac:dyDescent="0.3">
      <c r="A26" s="24" t="s">
        <v>196</v>
      </c>
      <c r="B26" s="24"/>
      <c r="C26" s="24"/>
      <c r="D26" s="24"/>
      <c r="E26" s="24"/>
      <c r="F26" s="24"/>
    </row>
    <row r="27" spans="1:7" x14ac:dyDescent="0.3">
      <c r="C27" t="s">
        <v>32</v>
      </c>
      <c r="D27" t="s">
        <v>33</v>
      </c>
      <c r="E27" t="s">
        <v>87</v>
      </c>
      <c r="G27" t="s">
        <v>55</v>
      </c>
    </row>
    <row r="28" spans="1:7" x14ac:dyDescent="0.3">
      <c r="A28" t="s">
        <v>35</v>
      </c>
      <c r="C28">
        <v>7643</v>
      </c>
      <c r="D28" s="43">
        <v>36407</v>
      </c>
      <c r="E28">
        <v>0</v>
      </c>
      <c r="G28">
        <f>SUM(C28:F28)</f>
        <v>44050</v>
      </c>
    </row>
    <row r="29" spans="1:7" x14ac:dyDescent="0.3">
      <c r="A29" t="s">
        <v>36</v>
      </c>
      <c r="C29">
        <v>0</v>
      </c>
      <c r="D29">
        <v>42</v>
      </c>
      <c r="E29">
        <v>0</v>
      </c>
      <c r="G29">
        <f>SUM(C29:F29)</f>
        <v>42</v>
      </c>
    </row>
    <row r="30" spans="1:7" x14ac:dyDescent="0.3">
      <c r="A30" t="s">
        <v>141</v>
      </c>
      <c r="C30">
        <v>0</v>
      </c>
      <c r="D30">
        <v>4</v>
      </c>
      <c r="E30">
        <v>0</v>
      </c>
      <c r="G30">
        <f>SUM(C30:F30)</f>
        <v>4</v>
      </c>
    </row>
    <row r="31" spans="1:7" x14ac:dyDescent="0.3">
      <c r="A31" t="s">
        <v>37</v>
      </c>
      <c r="C31">
        <v>2395</v>
      </c>
      <c r="D31" s="43">
        <v>33752</v>
      </c>
      <c r="E31">
        <v>0</v>
      </c>
      <c r="G31">
        <f>SUM(C31:F31)</f>
        <v>36147</v>
      </c>
    </row>
    <row r="32" spans="1:7" ht="15.6" x14ac:dyDescent="0.3">
      <c r="A32" s="25" t="s">
        <v>63</v>
      </c>
      <c r="B32" s="25"/>
      <c r="C32" s="25">
        <f>SUM(C28:C31)</f>
        <v>10038</v>
      </c>
      <c r="D32" s="61">
        <f>SUM(D28:D31)</f>
        <v>70205</v>
      </c>
      <c r="E32" s="25">
        <f>SUM(E28:E31)</f>
        <v>0</v>
      </c>
      <c r="F32" s="25"/>
      <c r="G32" s="25">
        <f>SUM(G28:G31)</f>
        <v>80243</v>
      </c>
    </row>
    <row r="34" spans="1:6" ht="15.6" x14ac:dyDescent="0.3">
      <c r="A34" s="26" t="s">
        <v>197</v>
      </c>
      <c r="B34" s="26"/>
      <c r="C34" s="24"/>
      <c r="D34" s="24"/>
      <c r="E34" s="24"/>
      <c r="F34" s="24"/>
    </row>
    <row r="35" spans="1:6" x14ac:dyDescent="0.3">
      <c r="A35" t="s">
        <v>35</v>
      </c>
      <c r="F35">
        <f>G28-G5</f>
        <v>-294</v>
      </c>
    </row>
    <row r="36" spans="1:6" x14ac:dyDescent="0.3">
      <c r="A36" t="s">
        <v>36</v>
      </c>
      <c r="F36">
        <f>G29-G6</f>
        <v>-5</v>
      </c>
    </row>
    <row r="37" spans="1:6" x14ac:dyDescent="0.3">
      <c r="A37" t="s">
        <v>37</v>
      </c>
      <c r="F37">
        <f>G31-G8</f>
        <v>-401</v>
      </c>
    </row>
    <row r="38" spans="1:6" ht="15.6" x14ac:dyDescent="0.3">
      <c r="A38" s="25" t="s">
        <v>34</v>
      </c>
      <c r="B38" s="25"/>
      <c r="C38" s="25"/>
      <c r="D38" s="25"/>
      <c r="E38" s="25"/>
      <c r="F38" s="25">
        <f>SUM(F35:F37)</f>
        <v>-700</v>
      </c>
    </row>
    <row r="40" spans="1:6" x14ac:dyDescent="0.3">
      <c r="A40" t="s">
        <v>46</v>
      </c>
    </row>
    <row r="41" spans="1:6" x14ac:dyDescent="0.3">
      <c r="A41" t="s">
        <v>47</v>
      </c>
    </row>
    <row r="42" spans="1:6" x14ac:dyDescent="0.3">
      <c r="A42" t="s">
        <v>48</v>
      </c>
    </row>
    <row r="43" spans="1:6" x14ac:dyDescent="0.3">
      <c r="A43" t="s">
        <v>49</v>
      </c>
    </row>
    <row r="44" spans="1:6" x14ac:dyDescent="0.3">
      <c r="A44" t="s">
        <v>50</v>
      </c>
    </row>
    <row r="45" spans="1:6" x14ac:dyDescent="0.3">
      <c r="A45" t="s">
        <v>114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29"/>
  <dimension ref="A3:G45"/>
  <sheetViews>
    <sheetView topLeftCell="A15" workbookViewId="0"/>
  </sheetViews>
  <sheetFormatPr defaultRowHeight="14.4" x14ac:dyDescent="0.3"/>
  <sheetData>
    <row r="3" spans="1:7" x14ac:dyDescent="0.3">
      <c r="A3" s="24" t="s">
        <v>198</v>
      </c>
      <c r="B3" s="24"/>
      <c r="C3" s="24"/>
      <c r="D3" s="24"/>
      <c r="E3" s="24"/>
      <c r="F3" s="24"/>
    </row>
    <row r="4" spans="1:7" x14ac:dyDescent="0.3">
      <c r="C4" t="s">
        <v>32</v>
      </c>
      <c r="D4" t="s">
        <v>33</v>
      </c>
      <c r="E4" t="s">
        <v>87</v>
      </c>
      <c r="G4" t="s">
        <v>55</v>
      </c>
    </row>
    <row r="5" spans="1:7" x14ac:dyDescent="0.3">
      <c r="A5" t="s">
        <v>35</v>
      </c>
      <c r="C5">
        <v>7643</v>
      </c>
      <c r="D5" s="43">
        <v>36407</v>
      </c>
      <c r="E5">
        <v>0</v>
      </c>
      <c r="G5">
        <f>SUM(C5:F5)</f>
        <v>44050</v>
      </c>
    </row>
    <row r="6" spans="1:7" x14ac:dyDescent="0.3">
      <c r="A6" t="s">
        <v>36</v>
      </c>
      <c r="C6">
        <v>0</v>
      </c>
      <c r="D6">
        <v>42</v>
      </c>
      <c r="E6">
        <v>0</v>
      </c>
      <c r="G6">
        <f>SUM(C6:F6)</f>
        <v>42</v>
      </c>
    </row>
    <row r="7" spans="1:7" x14ac:dyDescent="0.3">
      <c r="A7" t="s">
        <v>141</v>
      </c>
      <c r="C7">
        <v>0</v>
      </c>
      <c r="D7">
        <v>4</v>
      </c>
      <c r="E7">
        <v>0</v>
      </c>
      <c r="G7">
        <f>SUM(C7:F7)</f>
        <v>4</v>
      </c>
    </row>
    <row r="8" spans="1:7" x14ac:dyDescent="0.3">
      <c r="A8" t="s">
        <v>37</v>
      </c>
      <c r="C8">
        <v>2395</v>
      </c>
      <c r="D8" s="43">
        <v>33752</v>
      </c>
      <c r="E8">
        <v>0</v>
      </c>
      <c r="G8">
        <f>SUM(C8:F8)</f>
        <v>36147</v>
      </c>
    </row>
    <row r="9" spans="1:7" ht="15.6" x14ac:dyDescent="0.3">
      <c r="A9" s="25" t="s">
        <v>63</v>
      </c>
      <c r="B9" s="25"/>
      <c r="C9" s="25">
        <f>SUM(C5:C8)</f>
        <v>10038</v>
      </c>
      <c r="D9" s="61">
        <f>SUM(D5:D8)</f>
        <v>70205</v>
      </c>
      <c r="E9" s="25">
        <f>SUM(E5:E8)</f>
        <v>0</v>
      </c>
      <c r="F9" s="25"/>
      <c r="G9" s="25">
        <f>SUM(G5:G8)</f>
        <v>80243</v>
      </c>
    </row>
    <row r="10" spans="1:7" ht="15.6" x14ac:dyDescent="0.3">
      <c r="A10" s="25"/>
      <c r="B10" s="25"/>
      <c r="C10" s="25"/>
      <c r="D10" s="61"/>
      <c r="E10" s="25"/>
      <c r="F10" s="25"/>
      <c r="G10" s="25"/>
    </row>
    <row r="11" spans="1:7" x14ac:dyDescent="0.3">
      <c r="A11" s="24" t="s">
        <v>199</v>
      </c>
      <c r="B11" s="24"/>
      <c r="C11" s="24"/>
      <c r="D11" s="24"/>
      <c r="E11" s="24"/>
      <c r="F11" s="24"/>
      <c r="G11" s="24"/>
    </row>
    <row r="12" spans="1:7" x14ac:dyDescent="0.3">
      <c r="C12" t="s">
        <v>57</v>
      </c>
      <c r="D12" t="s">
        <v>33</v>
      </c>
      <c r="G12" t="s">
        <v>56</v>
      </c>
    </row>
    <row r="13" spans="1:7" x14ac:dyDescent="0.3">
      <c r="A13" t="s">
        <v>35</v>
      </c>
      <c r="C13">
        <v>0</v>
      </c>
      <c r="D13" s="69">
        <v>842</v>
      </c>
      <c r="G13">
        <f>SUM(C13:E13)</f>
        <v>842</v>
      </c>
    </row>
    <row r="14" spans="1:7" x14ac:dyDescent="0.3">
      <c r="A14" t="s">
        <v>53</v>
      </c>
      <c r="C14">
        <v>0</v>
      </c>
      <c r="D14" s="43">
        <v>0</v>
      </c>
      <c r="G14">
        <f>SUM(C14:E14)</f>
        <v>0</v>
      </c>
    </row>
    <row r="15" spans="1:7" x14ac:dyDescent="0.3">
      <c r="A15" t="s">
        <v>140</v>
      </c>
      <c r="C15">
        <v>0</v>
      </c>
      <c r="D15" s="43">
        <v>0</v>
      </c>
      <c r="G15">
        <f>SUM(C15:E15)</f>
        <v>0</v>
      </c>
    </row>
    <row r="16" spans="1:7" x14ac:dyDescent="0.3">
      <c r="A16" t="s">
        <v>54</v>
      </c>
      <c r="C16">
        <v>0</v>
      </c>
      <c r="D16" s="43">
        <v>719</v>
      </c>
      <c r="G16">
        <f>SUM(C16:E16)</f>
        <v>719</v>
      </c>
    </row>
    <row r="17" spans="1:7" ht="15.6" x14ac:dyDescent="0.3">
      <c r="A17" s="25" t="s">
        <v>55</v>
      </c>
      <c r="B17" s="25"/>
      <c r="C17" s="25">
        <f>SUM(C13:C16)</f>
        <v>0</v>
      </c>
      <c r="D17" s="25">
        <f>SUM(D13:D16)</f>
        <v>1561</v>
      </c>
      <c r="E17" s="25"/>
      <c r="F17" s="25"/>
      <c r="G17" s="25">
        <f>SUM(G13:G16)</f>
        <v>1561</v>
      </c>
    </row>
    <row r="19" spans="1:7" x14ac:dyDescent="0.3">
      <c r="A19" s="29" t="s">
        <v>200</v>
      </c>
      <c r="B19" s="29"/>
      <c r="C19" s="29"/>
      <c r="D19" s="29"/>
      <c r="E19" s="29"/>
      <c r="F19" s="29"/>
      <c r="G19" s="29"/>
    </row>
    <row r="20" spans="1:7" x14ac:dyDescent="0.3">
      <c r="A20" t="s">
        <v>39</v>
      </c>
      <c r="B20" t="s">
        <v>113</v>
      </c>
      <c r="C20" t="s">
        <v>41</v>
      </c>
      <c r="D20" t="s">
        <v>42</v>
      </c>
      <c r="E20" t="s">
        <v>43</v>
      </c>
      <c r="F20" t="s">
        <v>58</v>
      </c>
      <c r="G20" t="s">
        <v>34</v>
      </c>
    </row>
    <row r="21" spans="1:7" x14ac:dyDescent="0.3">
      <c r="A21" t="s">
        <v>35</v>
      </c>
      <c r="B21">
        <v>0</v>
      </c>
      <c r="C21" s="43">
        <v>885</v>
      </c>
      <c r="D21" s="43">
        <v>0</v>
      </c>
      <c r="E21" s="43">
        <v>21</v>
      </c>
      <c r="F21" s="43">
        <v>0</v>
      </c>
      <c r="G21">
        <f>SUM(B21:F21)</f>
        <v>906</v>
      </c>
    </row>
    <row r="22" spans="1:7" x14ac:dyDescent="0.3">
      <c r="A22" t="s">
        <v>36</v>
      </c>
      <c r="B22">
        <v>0</v>
      </c>
      <c r="C22" s="43">
        <v>0</v>
      </c>
      <c r="D22" s="43">
        <v>3</v>
      </c>
      <c r="E22" s="43">
        <v>0</v>
      </c>
      <c r="F22" s="43">
        <v>0</v>
      </c>
      <c r="G22">
        <f>SUM(B22:F22)</f>
        <v>3</v>
      </c>
    </row>
    <row r="23" spans="1:7" x14ac:dyDescent="0.3">
      <c r="A23" t="s">
        <v>37</v>
      </c>
      <c r="B23">
        <v>1</v>
      </c>
      <c r="C23" s="43">
        <v>950</v>
      </c>
      <c r="D23" s="43">
        <v>7</v>
      </c>
      <c r="E23" s="43">
        <v>137</v>
      </c>
      <c r="F23" s="43">
        <v>6</v>
      </c>
      <c r="G23">
        <f>SUM(B23:F23)</f>
        <v>1101</v>
      </c>
    </row>
    <row r="24" spans="1:7" ht="15.6" x14ac:dyDescent="0.3">
      <c r="A24" t="s">
        <v>34</v>
      </c>
      <c r="C24" s="25">
        <f>SUM(C21:C23)</f>
        <v>1835</v>
      </c>
      <c r="D24" s="25">
        <f>SUM(D21:D23)</f>
        <v>10</v>
      </c>
      <c r="E24" s="25">
        <f>SUM(E21:E23)</f>
        <v>158</v>
      </c>
      <c r="F24" s="25">
        <v>3</v>
      </c>
      <c r="G24" s="25">
        <f>SUM(G21:G23)</f>
        <v>2010</v>
      </c>
    </row>
    <row r="26" spans="1:7" x14ac:dyDescent="0.3">
      <c r="A26" s="24" t="s">
        <v>201</v>
      </c>
      <c r="B26" s="24"/>
      <c r="C26" s="24"/>
      <c r="D26" s="24"/>
      <c r="E26" s="24"/>
      <c r="F26" s="24"/>
    </row>
    <row r="27" spans="1:7" x14ac:dyDescent="0.3">
      <c r="C27" t="s">
        <v>32</v>
      </c>
      <c r="D27" t="s">
        <v>33</v>
      </c>
      <c r="E27" t="s">
        <v>87</v>
      </c>
      <c r="G27" t="s">
        <v>55</v>
      </c>
    </row>
    <row r="28" spans="1:7" x14ac:dyDescent="0.3">
      <c r="A28" t="s">
        <v>35</v>
      </c>
      <c r="C28">
        <v>7711</v>
      </c>
      <c r="D28" s="43">
        <v>36275</v>
      </c>
      <c r="E28">
        <v>0</v>
      </c>
      <c r="G28">
        <f>SUM(C28:F28)</f>
        <v>43986</v>
      </c>
    </row>
    <row r="29" spans="1:7" x14ac:dyDescent="0.3">
      <c r="A29" t="s">
        <v>36</v>
      </c>
      <c r="C29">
        <v>0</v>
      </c>
      <c r="D29">
        <v>39</v>
      </c>
      <c r="E29">
        <v>0</v>
      </c>
      <c r="G29">
        <f>SUM(C29:F29)</f>
        <v>39</v>
      </c>
    </row>
    <row r="30" spans="1:7" x14ac:dyDescent="0.3">
      <c r="A30" t="s">
        <v>141</v>
      </c>
      <c r="C30">
        <v>0</v>
      </c>
      <c r="D30">
        <v>4</v>
      </c>
      <c r="E30">
        <v>0</v>
      </c>
      <c r="G30">
        <f>SUM(C30:F30)</f>
        <v>4</v>
      </c>
    </row>
    <row r="31" spans="1:7" x14ac:dyDescent="0.3">
      <c r="A31" t="s">
        <v>37</v>
      </c>
      <c r="C31">
        <v>2510</v>
      </c>
      <c r="D31" s="43">
        <v>33255</v>
      </c>
      <c r="E31">
        <v>0</v>
      </c>
      <c r="G31">
        <f>SUM(C31:F31)</f>
        <v>35765</v>
      </c>
    </row>
    <row r="32" spans="1:7" ht="15.6" x14ac:dyDescent="0.3">
      <c r="A32" s="25" t="s">
        <v>63</v>
      </c>
      <c r="B32" s="25"/>
      <c r="C32" s="25">
        <f>SUM(C28:C31)</f>
        <v>10221</v>
      </c>
      <c r="D32" s="61">
        <f>SUM(D28:D31)</f>
        <v>69573</v>
      </c>
      <c r="E32" s="25">
        <f>SUM(E28:E31)</f>
        <v>0</v>
      </c>
      <c r="F32" s="25"/>
      <c r="G32" s="25">
        <f>SUM(G28:G31)</f>
        <v>79794</v>
      </c>
    </row>
    <row r="34" spans="1:6" ht="15.6" x14ac:dyDescent="0.3">
      <c r="A34" s="26" t="s">
        <v>202</v>
      </c>
      <c r="B34" s="26"/>
      <c r="C34" s="24"/>
      <c r="D34" s="24"/>
      <c r="E34" s="24"/>
      <c r="F34" s="24"/>
    </row>
    <row r="35" spans="1:6" x14ac:dyDescent="0.3">
      <c r="A35" t="s">
        <v>35</v>
      </c>
      <c r="F35">
        <f>G28-G5</f>
        <v>-64</v>
      </c>
    </row>
    <row r="36" spans="1:6" x14ac:dyDescent="0.3">
      <c r="A36" t="s">
        <v>36</v>
      </c>
      <c r="F36">
        <f>G29-G6</f>
        <v>-3</v>
      </c>
    </row>
    <row r="37" spans="1:6" x14ac:dyDescent="0.3">
      <c r="A37" t="s">
        <v>37</v>
      </c>
      <c r="F37">
        <f>G31-G8</f>
        <v>-382</v>
      </c>
    </row>
    <row r="38" spans="1:6" ht="15.6" x14ac:dyDescent="0.3">
      <c r="A38" s="25" t="s">
        <v>34</v>
      </c>
      <c r="B38" s="25"/>
      <c r="C38" s="25"/>
      <c r="D38" s="25"/>
      <c r="E38" s="25"/>
      <c r="F38" s="25">
        <f>SUM(F35:F37)</f>
        <v>-449</v>
      </c>
    </row>
    <row r="40" spans="1:6" x14ac:dyDescent="0.3">
      <c r="A40" t="s">
        <v>46</v>
      </c>
    </row>
    <row r="41" spans="1:6" x14ac:dyDescent="0.3">
      <c r="A41" t="s">
        <v>47</v>
      </c>
    </row>
    <row r="42" spans="1:6" x14ac:dyDescent="0.3">
      <c r="A42" t="s">
        <v>48</v>
      </c>
    </row>
    <row r="43" spans="1:6" x14ac:dyDescent="0.3">
      <c r="A43" t="s">
        <v>49</v>
      </c>
    </row>
    <row r="44" spans="1:6" x14ac:dyDescent="0.3">
      <c r="A44" t="s">
        <v>50</v>
      </c>
    </row>
    <row r="45" spans="1:6" x14ac:dyDescent="0.3">
      <c r="A45" t="s">
        <v>114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30"/>
  <dimension ref="A1:G43"/>
  <sheetViews>
    <sheetView topLeftCell="A12" workbookViewId="0"/>
  </sheetViews>
  <sheetFormatPr defaultRowHeight="14.4" x14ac:dyDescent="0.3"/>
  <sheetData>
    <row r="1" spans="1:7" x14ac:dyDescent="0.3">
      <c r="A1" s="24" t="s">
        <v>203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>
        <v>7711</v>
      </c>
      <c r="D3" s="43">
        <v>36275</v>
      </c>
      <c r="E3">
        <v>0</v>
      </c>
      <c r="G3">
        <f>SUM(C3:F3)</f>
        <v>43986</v>
      </c>
    </row>
    <row r="4" spans="1:7" x14ac:dyDescent="0.3">
      <c r="A4" t="s">
        <v>36</v>
      </c>
      <c r="C4">
        <v>0</v>
      </c>
      <c r="D4">
        <v>39</v>
      </c>
      <c r="E4">
        <v>0</v>
      </c>
      <c r="G4">
        <f>SUM(C4:F4)</f>
        <v>39</v>
      </c>
    </row>
    <row r="5" spans="1:7" x14ac:dyDescent="0.3">
      <c r="A5" t="s">
        <v>141</v>
      </c>
      <c r="C5">
        <v>0</v>
      </c>
      <c r="D5">
        <v>4</v>
      </c>
      <c r="E5">
        <v>0</v>
      </c>
      <c r="G5">
        <f>SUM(C5:F5)</f>
        <v>4</v>
      </c>
    </row>
    <row r="6" spans="1:7" x14ac:dyDescent="0.3">
      <c r="A6" t="s">
        <v>37</v>
      </c>
      <c r="C6">
        <v>2510</v>
      </c>
      <c r="D6" s="43">
        <v>33255</v>
      </c>
      <c r="E6">
        <v>0</v>
      </c>
      <c r="G6">
        <f>SUM(C6:F6)</f>
        <v>35765</v>
      </c>
    </row>
    <row r="7" spans="1:7" ht="15.6" x14ac:dyDescent="0.3">
      <c r="A7" s="25" t="s">
        <v>63</v>
      </c>
      <c r="B7" s="25"/>
      <c r="C7" s="25">
        <f>SUM(C3:C6)</f>
        <v>10221</v>
      </c>
      <c r="D7" s="61">
        <f>SUM(D3:D6)</f>
        <v>69573</v>
      </c>
      <c r="E7" s="25">
        <f>SUM(E3:E6)</f>
        <v>0</v>
      </c>
      <c r="F7" s="25"/>
      <c r="G7" s="25">
        <f>SUM(G3:G6)</f>
        <v>79794</v>
      </c>
    </row>
    <row r="8" spans="1:7" ht="15.6" x14ac:dyDescent="0.3">
      <c r="A8" s="25"/>
      <c r="B8" s="25"/>
      <c r="C8" s="25"/>
      <c r="D8" s="61"/>
      <c r="E8" s="25"/>
      <c r="F8" s="25"/>
      <c r="G8" s="25"/>
    </row>
    <row r="9" spans="1:7" x14ac:dyDescent="0.3">
      <c r="A9" s="24" t="s">
        <v>204</v>
      </c>
      <c r="B9" s="24"/>
      <c r="C9" s="24"/>
      <c r="D9" s="24"/>
      <c r="E9" s="24"/>
      <c r="F9" s="24"/>
      <c r="G9" s="24"/>
    </row>
    <row r="10" spans="1:7" x14ac:dyDescent="0.3">
      <c r="C10" t="s">
        <v>57</v>
      </c>
      <c r="D10" t="s">
        <v>33</v>
      </c>
      <c r="G10" t="s">
        <v>56</v>
      </c>
    </row>
    <row r="11" spans="1:7" x14ac:dyDescent="0.3">
      <c r="A11" t="s">
        <v>35</v>
      </c>
      <c r="C11">
        <v>0</v>
      </c>
      <c r="D11" s="69">
        <v>1894</v>
      </c>
      <c r="G11">
        <f>SUM(C11:E11)</f>
        <v>1894</v>
      </c>
    </row>
    <row r="12" spans="1:7" x14ac:dyDescent="0.3">
      <c r="A12" t="s">
        <v>53</v>
      </c>
      <c r="C12">
        <v>0</v>
      </c>
      <c r="D12" s="43">
        <v>0</v>
      </c>
      <c r="G12">
        <f>SUM(C12:E12)</f>
        <v>0</v>
      </c>
    </row>
    <row r="13" spans="1:7" x14ac:dyDescent="0.3">
      <c r="A13" t="s">
        <v>140</v>
      </c>
      <c r="C13">
        <v>0</v>
      </c>
      <c r="D13" s="43">
        <v>2</v>
      </c>
      <c r="G13">
        <f>SUM(C13:E13)</f>
        <v>2</v>
      </c>
    </row>
    <row r="14" spans="1:7" x14ac:dyDescent="0.3">
      <c r="A14" t="s">
        <v>54</v>
      </c>
      <c r="C14">
        <v>0</v>
      </c>
      <c r="D14" s="43">
        <v>908</v>
      </c>
      <c r="G14">
        <f>SUM(C14:E14)</f>
        <v>908</v>
      </c>
    </row>
    <row r="15" spans="1:7" ht="15.6" x14ac:dyDescent="0.3">
      <c r="A15" s="25" t="s">
        <v>55</v>
      </c>
      <c r="B15" s="25"/>
      <c r="C15" s="25">
        <f>SUM(C11:C14)</f>
        <v>0</v>
      </c>
      <c r="D15" s="25">
        <f>SUM(D11:D14)</f>
        <v>2804</v>
      </c>
      <c r="E15" s="25"/>
      <c r="F15" s="25"/>
      <c r="G15" s="25">
        <f>SUM(G11:G14)</f>
        <v>2804</v>
      </c>
    </row>
    <row r="17" spans="1:7" x14ac:dyDescent="0.3">
      <c r="A17" s="29" t="s">
        <v>205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113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0</v>
      </c>
      <c r="C19" s="43">
        <v>1801</v>
      </c>
      <c r="D19" s="43">
        <v>46</v>
      </c>
      <c r="E19" s="43">
        <v>24</v>
      </c>
      <c r="F19" s="43">
        <v>0</v>
      </c>
      <c r="G19">
        <f>SUM(B19:F19)</f>
        <v>1871</v>
      </c>
    </row>
    <row r="20" spans="1:7" x14ac:dyDescent="0.3">
      <c r="A20" t="s">
        <v>36</v>
      </c>
      <c r="B20">
        <v>0</v>
      </c>
      <c r="C20" s="43">
        <v>0</v>
      </c>
      <c r="D20" s="43">
        <v>20</v>
      </c>
      <c r="E20" s="43">
        <v>0</v>
      </c>
      <c r="F20" s="43">
        <v>0</v>
      </c>
      <c r="G20">
        <f>SUM(B20:F20)</f>
        <v>20</v>
      </c>
    </row>
    <row r="21" spans="1:7" x14ac:dyDescent="0.3">
      <c r="A21" t="s">
        <v>37</v>
      </c>
      <c r="B21">
        <v>0</v>
      </c>
      <c r="C21" s="43">
        <v>637</v>
      </c>
      <c r="D21" s="43">
        <v>20</v>
      </c>
      <c r="E21" s="43">
        <v>77</v>
      </c>
      <c r="F21" s="43">
        <v>7</v>
      </c>
      <c r="G21">
        <f>SUM(B21:F21)</f>
        <v>741</v>
      </c>
    </row>
    <row r="22" spans="1:7" ht="15.6" x14ac:dyDescent="0.3">
      <c r="A22" t="s">
        <v>34</v>
      </c>
      <c r="C22" s="25">
        <f>SUM(C19:C21)</f>
        <v>2438</v>
      </c>
      <c r="D22" s="25">
        <f>SUM(D19:D21)</f>
        <v>86</v>
      </c>
      <c r="E22" s="25">
        <f>SUM(E19:E21)</f>
        <v>101</v>
      </c>
      <c r="F22" s="25">
        <v>3</v>
      </c>
      <c r="G22" s="25">
        <f>SUM(G19:G21)</f>
        <v>2632</v>
      </c>
    </row>
    <row r="24" spans="1:7" x14ac:dyDescent="0.3">
      <c r="A24" s="24" t="s">
        <v>206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5972</v>
      </c>
      <c r="D26" s="43">
        <v>38037</v>
      </c>
      <c r="E26">
        <v>0</v>
      </c>
      <c r="G26">
        <f>SUM(C26:F26)</f>
        <v>44009</v>
      </c>
    </row>
    <row r="27" spans="1:7" x14ac:dyDescent="0.3">
      <c r="A27" t="s">
        <v>36</v>
      </c>
      <c r="C27">
        <v>0</v>
      </c>
      <c r="D27">
        <v>19</v>
      </c>
      <c r="E27">
        <v>0</v>
      </c>
      <c r="G27">
        <f>SUM(C27:F27)</f>
        <v>19</v>
      </c>
    </row>
    <row r="28" spans="1:7" x14ac:dyDescent="0.3">
      <c r="A28" t="s">
        <v>141</v>
      </c>
      <c r="C28">
        <v>0</v>
      </c>
      <c r="D28">
        <v>6</v>
      </c>
      <c r="E28">
        <v>0</v>
      </c>
      <c r="G28">
        <f>SUM(C28:F28)</f>
        <v>6</v>
      </c>
    </row>
    <row r="29" spans="1:7" x14ac:dyDescent="0.3">
      <c r="A29" t="s">
        <v>37</v>
      </c>
      <c r="C29">
        <v>2342</v>
      </c>
      <c r="D29" s="43">
        <v>33590</v>
      </c>
      <c r="E29">
        <v>0</v>
      </c>
      <c r="G29">
        <f>SUM(C29:F29)</f>
        <v>35932</v>
      </c>
    </row>
    <row r="30" spans="1:7" ht="15.6" x14ac:dyDescent="0.3">
      <c r="A30" s="25" t="s">
        <v>63</v>
      </c>
      <c r="B30" s="25"/>
      <c r="C30" s="25">
        <f>SUM(C26:C29)</f>
        <v>8314</v>
      </c>
      <c r="D30" s="61">
        <f>SUM(D26:D29)</f>
        <v>71652</v>
      </c>
      <c r="E30" s="25">
        <f>SUM(E26:E29)</f>
        <v>0</v>
      </c>
      <c r="F30" s="25"/>
      <c r="G30" s="25">
        <f>SUM(G26:G29)</f>
        <v>79966</v>
      </c>
    </row>
    <row r="32" spans="1:7" ht="15.6" x14ac:dyDescent="0.3">
      <c r="A32" s="26" t="s">
        <v>207</v>
      </c>
      <c r="B32" s="26"/>
      <c r="C32" s="24"/>
      <c r="D32" s="24"/>
      <c r="E32" s="24"/>
      <c r="F32" s="24"/>
    </row>
    <row r="33" spans="1:6" x14ac:dyDescent="0.3">
      <c r="A33" t="s">
        <v>35</v>
      </c>
      <c r="F33">
        <f>G26-G3</f>
        <v>23</v>
      </c>
    </row>
    <row r="34" spans="1:6" x14ac:dyDescent="0.3">
      <c r="A34" t="s">
        <v>36</v>
      </c>
      <c r="F34">
        <f>G27-G4</f>
        <v>-20</v>
      </c>
    </row>
    <row r="35" spans="1:6" x14ac:dyDescent="0.3">
      <c r="A35" t="s">
        <v>37</v>
      </c>
      <c r="F35">
        <f>G29-G6</f>
        <v>167</v>
      </c>
    </row>
    <row r="36" spans="1:6" ht="15.6" x14ac:dyDescent="0.3">
      <c r="A36" s="25" t="s">
        <v>34</v>
      </c>
      <c r="B36" s="25"/>
      <c r="C36" s="25"/>
      <c r="D36" s="25"/>
      <c r="E36" s="25"/>
      <c r="F36" s="25">
        <f>SUM(F33:F35)</f>
        <v>170</v>
      </c>
    </row>
    <row r="38" spans="1:6" x14ac:dyDescent="0.3">
      <c r="A38" t="s">
        <v>46</v>
      </c>
    </row>
    <row r="39" spans="1:6" x14ac:dyDescent="0.3">
      <c r="A39" t="s">
        <v>47</v>
      </c>
    </row>
    <row r="40" spans="1:6" x14ac:dyDescent="0.3">
      <c r="A40" t="s">
        <v>48</v>
      </c>
    </row>
    <row r="41" spans="1:6" x14ac:dyDescent="0.3">
      <c r="A41" t="s">
        <v>49</v>
      </c>
    </row>
    <row r="42" spans="1:6" x14ac:dyDescent="0.3">
      <c r="A42" t="s">
        <v>50</v>
      </c>
    </row>
    <row r="43" spans="1:6" x14ac:dyDescent="0.3">
      <c r="A43" t="s">
        <v>114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1"/>
  <dimension ref="A1:G43"/>
  <sheetViews>
    <sheetView workbookViewId="0"/>
  </sheetViews>
  <sheetFormatPr defaultRowHeight="14.4" x14ac:dyDescent="0.3"/>
  <sheetData>
    <row r="1" spans="1:7" x14ac:dyDescent="0.3">
      <c r="A1" s="24" t="s">
        <v>208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>
        <v>5972</v>
      </c>
      <c r="D3" s="43">
        <v>38037</v>
      </c>
      <c r="E3">
        <v>0</v>
      </c>
      <c r="G3">
        <f>SUM(C3:F3)</f>
        <v>44009</v>
      </c>
    </row>
    <row r="4" spans="1:7" x14ac:dyDescent="0.3">
      <c r="A4" t="s">
        <v>36</v>
      </c>
      <c r="C4">
        <v>0</v>
      </c>
      <c r="D4">
        <v>19</v>
      </c>
      <c r="E4">
        <v>0</v>
      </c>
      <c r="G4">
        <f>SUM(C4:F4)</f>
        <v>19</v>
      </c>
    </row>
    <row r="5" spans="1:7" x14ac:dyDescent="0.3">
      <c r="A5" t="s">
        <v>141</v>
      </c>
      <c r="C5">
        <v>0</v>
      </c>
      <c r="D5">
        <v>6</v>
      </c>
      <c r="E5">
        <v>0</v>
      </c>
      <c r="G5">
        <f>SUM(C5:F5)</f>
        <v>6</v>
      </c>
    </row>
    <row r="6" spans="1:7" x14ac:dyDescent="0.3">
      <c r="A6" t="s">
        <v>37</v>
      </c>
      <c r="C6">
        <v>2342</v>
      </c>
      <c r="D6" s="43">
        <v>33590</v>
      </c>
      <c r="E6">
        <v>0</v>
      </c>
      <c r="G6">
        <f>SUM(C6:F6)</f>
        <v>35932</v>
      </c>
    </row>
    <row r="7" spans="1:7" ht="15.6" x14ac:dyDescent="0.3">
      <c r="A7" s="25" t="s">
        <v>63</v>
      </c>
      <c r="B7" s="25"/>
      <c r="C7" s="25">
        <f>SUM(C3:C6)</f>
        <v>8314</v>
      </c>
      <c r="D7" s="61">
        <f>SUM(D3:D6)</f>
        <v>71652</v>
      </c>
      <c r="E7" s="25">
        <f>SUM(E3:E6)</f>
        <v>0</v>
      </c>
      <c r="F7" s="25"/>
      <c r="G7" s="25">
        <f>SUM(G3:G6)</f>
        <v>79966</v>
      </c>
    </row>
    <row r="8" spans="1:7" ht="15.6" x14ac:dyDescent="0.3">
      <c r="A8" s="25"/>
      <c r="B8" s="25"/>
      <c r="C8" s="25"/>
      <c r="D8" s="61"/>
      <c r="E8" s="25"/>
      <c r="F8" s="25"/>
      <c r="G8" s="25"/>
    </row>
    <row r="9" spans="1:7" x14ac:dyDescent="0.3">
      <c r="A9" s="24" t="s">
        <v>209</v>
      </c>
      <c r="B9" s="24"/>
      <c r="C9" s="24"/>
      <c r="D9" s="24"/>
      <c r="E9" s="24"/>
      <c r="F9" s="24"/>
      <c r="G9" s="24"/>
    </row>
    <row r="10" spans="1:7" x14ac:dyDescent="0.3">
      <c r="C10" t="s">
        <v>57</v>
      </c>
      <c r="D10" t="s">
        <v>33</v>
      </c>
      <c r="G10" t="s">
        <v>56</v>
      </c>
    </row>
    <row r="11" spans="1:7" x14ac:dyDescent="0.3">
      <c r="A11" t="s">
        <v>35</v>
      </c>
      <c r="C11">
        <v>1</v>
      </c>
      <c r="D11" s="69">
        <v>3726</v>
      </c>
      <c r="G11">
        <f>SUM(C11:E11)</f>
        <v>3727</v>
      </c>
    </row>
    <row r="12" spans="1:7" x14ac:dyDescent="0.3">
      <c r="A12" t="s">
        <v>53</v>
      </c>
      <c r="C12">
        <v>0</v>
      </c>
      <c r="D12" s="43">
        <v>0</v>
      </c>
      <c r="G12">
        <f>SUM(C12:E12)</f>
        <v>0</v>
      </c>
    </row>
    <row r="13" spans="1:7" x14ac:dyDescent="0.3">
      <c r="A13" t="s">
        <v>140</v>
      </c>
      <c r="C13">
        <v>0</v>
      </c>
      <c r="D13" s="43">
        <v>3</v>
      </c>
      <c r="G13">
        <f>SUM(C13:E13)</f>
        <v>3</v>
      </c>
    </row>
    <row r="14" spans="1:7" x14ac:dyDescent="0.3">
      <c r="A14" t="s">
        <v>54</v>
      </c>
      <c r="C14">
        <v>0</v>
      </c>
      <c r="D14" s="43">
        <v>1665</v>
      </c>
      <c r="G14">
        <f>SUM(C14:E14)</f>
        <v>1665</v>
      </c>
    </row>
    <row r="15" spans="1:7" ht="15.6" x14ac:dyDescent="0.3">
      <c r="A15" s="25" t="s">
        <v>55</v>
      </c>
      <c r="B15" s="25"/>
      <c r="C15" s="25">
        <f>SUM(C11:C14)</f>
        <v>1</v>
      </c>
      <c r="D15" s="25">
        <f>SUM(D11:D14)</f>
        <v>5394</v>
      </c>
      <c r="E15" s="25"/>
      <c r="F15" s="25"/>
      <c r="G15" s="25">
        <f>SUM(G11:G14)</f>
        <v>5395</v>
      </c>
    </row>
    <row r="17" spans="1:7" x14ac:dyDescent="0.3">
      <c r="A17" s="29" t="s">
        <v>210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113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0</v>
      </c>
      <c r="C19" s="43">
        <v>2935</v>
      </c>
      <c r="D19" s="43">
        <v>96</v>
      </c>
      <c r="E19" s="43">
        <v>24</v>
      </c>
      <c r="F19" s="43">
        <v>1</v>
      </c>
      <c r="G19">
        <f>SUM(B19:F19)</f>
        <v>3056</v>
      </c>
    </row>
    <row r="20" spans="1:7" x14ac:dyDescent="0.3">
      <c r="A20" t="s">
        <v>36</v>
      </c>
      <c r="B20">
        <v>0</v>
      </c>
      <c r="C20" s="43">
        <v>0</v>
      </c>
      <c r="D20" s="43">
        <v>9</v>
      </c>
      <c r="E20" s="43">
        <v>0</v>
      </c>
      <c r="F20" s="43">
        <v>0</v>
      </c>
      <c r="G20">
        <f>SUM(B20:F20)</f>
        <v>9</v>
      </c>
    </row>
    <row r="21" spans="1:7" x14ac:dyDescent="0.3">
      <c r="A21" t="s">
        <v>37</v>
      </c>
      <c r="B21">
        <v>0</v>
      </c>
      <c r="C21" s="43">
        <v>855</v>
      </c>
      <c r="D21" s="43">
        <v>19</v>
      </c>
      <c r="E21" s="43">
        <v>84</v>
      </c>
      <c r="F21" s="43">
        <v>18</v>
      </c>
      <c r="G21">
        <f>SUM(B21:F21)</f>
        <v>976</v>
      </c>
    </row>
    <row r="22" spans="1:7" ht="15.6" x14ac:dyDescent="0.3">
      <c r="A22" t="s">
        <v>34</v>
      </c>
      <c r="C22" s="25">
        <f>SUM(C19:C21)</f>
        <v>3790</v>
      </c>
      <c r="D22" s="25">
        <f>SUM(D19:D21)</f>
        <v>124</v>
      </c>
      <c r="E22" s="25">
        <f>SUM(E19:E21)</f>
        <v>108</v>
      </c>
      <c r="F22" s="25">
        <v>3</v>
      </c>
      <c r="G22" s="25">
        <f>SUM(G19:G21)</f>
        <v>4041</v>
      </c>
    </row>
    <row r="24" spans="1:7" x14ac:dyDescent="0.3">
      <c r="A24" s="24" t="s">
        <v>211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3000</v>
      </c>
      <c r="D26" s="43">
        <v>41680</v>
      </c>
      <c r="E26">
        <v>0</v>
      </c>
      <c r="G26">
        <f>SUM(C26:F26)</f>
        <v>44680</v>
      </c>
    </row>
    <row r="27" spans="1:7" x14ac:dyDescent="0.3">
      <c r="A27" t="s">
        <v>36</v>
      </c>
      <c r="C27">
        <v>0</v>
      </c>
      <c r="D27">
        <v>10</v>
      </c>
      <c r="E27">
        <v>0</v>
      </c>
      <c r="G27">
        <f>SUM(C27:F27)</f>
        <v>10</v>
      </c>
    </row>
    <row r="28" spans="1:7" x14ac:dyDescent="0.3">
      <c r="A28" t="s">
        <v>141</v>
      </c>
      <c r="C28">
        <v>0</v>
      </c>
      <c r="D28">
        <v>9</v>
      </c>
      <c r="E28">
        <v>0</v>
      </c>
      <c r="G28">
        <f>SUM(C28:F28)</f>
        <v>9</v>
      </c>
    </row>
    <row r="29" spans="1:7" x14ac:dyDescent="0.3">
      <c r="A29" t="s">
        <v>37</v>
      </c>
      <c r="C29">
        <v>2643</v>
      </c>
      <c r="D29" s="43">
        <v>33978</v>
      </c>
      <c r="E29">
        <v>0</v>
      </c>
      <c r="G29">
        <f>SUM(C29:F29)</f>
        <v>36621</v>
      </c>
    </row>
    <row r="30" spans="1:7" ht="15.6" x14ac:dyDescent="0.3">
      <c r="A30" s="25" t="s">
        <v>63</v>
      </c>
      <c r="B30" s="25"/>
      <c r="C30" s="25">
        <f>SUM(C26:C29)</f>
        <v>5643</v>
      </c>
      <c r="D30" s="61">
        <f>SUM(D26:D29)</f>
        <v>75677</v>
      </c>
      <c r="E30" s="25">
        <f>SUM(E26:E29)</f>
        <v>0</v>
      </c>
      <c r="F30" s="25"/>
      <c r="G30" s="25">
        <f>SUM(G26:G29)</f>
        <v>81320</v>
      </c>
    </row>
    <row r="32" spans="1:7" ht="15.6" x14ac:dyDescent="0.3">
      <c r="A32" s="26" t="s">
        <v>212</v>
      </c>
      <c r="B32" s="26"/>
      <c r="C32" s="24"/>
      <c r="D32" s="24"/>
      <c r="E32" s="24"/>
      <c r="F32" s="24"/>
    </row>
    <row r="33" spans="1:6" x14ac:dyDescent="0.3">
      <c r="A33" t="s">
        <v>35</v>
      </c>
      <c r="F33">
        <f>G26-G3</f>
        <v>671</v>
      </c>
    </row>
    <row r="34" spans="1:6" x14ac:dyDescent="0.3">
      <c r="A34" t="s">
        <v>36</v>
      </c>
      <c r="F34">
        <f>G27-G4</f>
        <v>-9</v>
      </c>
    </row>
    <row r="35" spans="1:6" x14ac:dyDescent="0.3">
      <c r="A35" t="s">
        <v>37</v>
      </c>
      <c r="F35">
        <f>G29-G6</f>
        <v>689</v>
      </c>
    </row>
    <row r="36" spans="1:6" ht="15.6" x14ac:dyDescent="0.3">
      <c r="A36" s="25" t="s">
        <v>34</v>
      </c>
      <c r="B36" s="25"/>
      <c r="C36" s="25"/>
      <c r="D36" s="25"/>
      <c r="E36" s="25"/>
      <c r="F36" s="25">
        <f>SUM(F33:F35)</f>
        <v>1351</v>
      </c>
    </row>
    <row r="38" spans="1:6" x14ac:dyDescent="0.3">
      <c r="A38" t="s">
        <v>46</v>
      </c>
    </row>
    <row r="39" spans="1:6" x14ac:dyDescent="0.3">
      <c r="A39" t="s">
        <v>47</v>
      </c>
    </row>
    <row r="40" spans="1:6" x14ac:dyDescent="0.3">
      <c r="A40" t="s">
        <v>48</v>
      </c>
    </row>
    <row r="41" spans="1:6" x14ac:dyDescent="0.3">
      <c r="A41" t="s">
        <v>49</v>
      </c>
    </row>
    <row r="42" spans="1:6" x14ac:dyDescent="0.3">
      <c r="A42" t="s">
        <v>50</v>
      </c>
    </row>
    <row r="43" spans="1:6" x14ac:dyDescent="0.3">
      <c r="A43" t="s">
        <v>114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32"/>
  <dimension ref="A1:G43"/>
  <sheetViews>
    <sheetView topLeftCell="A8" workbookViewId="0"/>
  </sheetViews>
  <sheetFormatPr defaultRowHeight="14.4" x14ac:dyDescent="0.3"/>
  <sheetData>
    <row r="1" spans="1:7" x14ac:dyDescent="0.3">
      <c r="A1" s="24" t="s">
        <v>214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>
        <v>3000</v>
      </c>
      <c r="D3" s="43">
        <v>41680</v>
      </c>
      <c r="E3">
        <v>0</v>
      </c>
      <c r="G3">
        <f>SUM(C3:F3)</f>
        <v>44680</v>
      </c>
    </row>
    <row r="4" spans="1:7" x14ac:dyDescent="0.3">
      <c r="A4" t="s">
        <v>36</v>
      </c>
      <c r="C4">
        <v>0</v>
      </c>
      <c r="D4">
        <v>10</v>
      </c>
      <c r="E4">
        <v>0</v>
      </c>
      <c r="G4">
        <f>SUM(C4:F4)</f>
        <v>10</v>
      </c>
    </row>
    <row r="5" spans="1:7" x14ac:dyDescent="0.3">
      <c r="A5" t="s">
        <v>141</v>
      </c>
      <c r="C5">
        <v>0</v>
      </c>
      <c r="D5">
        <v>9</v>
      </c>
      <c r="E5">
        <v>0</v>
      </c>
      <c r="G5">
        <f>SUM(C5:F5)</f>
        <v>9</v>
      </c>
    </row>
    <row r="6" spans="1:7" x14ac:dyDescent="0.3">
      <c r="A6" t="s">
        <v>37</v>
      </c>
      <c r="C6">
        <v>2643</v>
      </c>
      <c r="D6" s="43">
        <v>33978</v>
      </c>
      <c r="E6">
        <v>0</v>
      </c>
      <c r="G6">
        <f>SUM(C6:F6)</f>
        <v>36621</v>
      </c>
    </row>
    <row r="7" spans="1:7" ht="15.6" x14ac:dyDescent="0.3">
      <c r="A7" s="25" t="s">
        <v>63</v>
      </c>
      <c r="B7" s="25"/>
      <c r="C7" s="25">
        <f>SUM(C3:C6)</f>
        <v>5643</v>
      </c>
      <c r="D7" s="61">
        <f>SUM(D3:D6)</f>
        <v>75677</v>
      </c>
      <c r="E7" s="25">
        <f>SUM(E3:E6)</f>
        <v>0</v>
      </c>
      <c r="F7" s="25"/>
      <c r="G7" s="25">
        <f>SUM(G3:G6)</f>
        <v>81320</v>
      </c>
    </row>
    <row r="8" spans="1:7" ht="15.6" x14ac:dyDescent="0.3">
      <c r="A8" s="25"/>
      <c r="B8" s="25"/>
      <c r="C8" s="25"/>
      <c r="D8" s="61"/>
      <c r="E8" s="25"/>
      <c r="F8" s="25"/>
      <c r="G8" s="25"/>
    </row>
    <row r="9" spans="1:7" x14ac:dyDescent="0.3">
      <c r="A9" s="24" t="s">
        <v>215</v>
      </c>
      <c r="B9" s="24"/>
      <c r="C9" s="24"/>
      <c r="D9" s="24"/>
      <c r="E9" s="24"/>
      <c r="F9" s="24"/>
      <c r="G9" s="24"/>
    </row>
    <row r="10" spans="1:7" x14ac:dyDescent="0.3">
      <c r="C10" t="s">
        <v>57</v>
      </c>
      <c r="D10" t="s">
        <v>33</v>
      </c>
      <c r="G10" t="s">
        <v>56</v>
      </c>
    </row>
    <row r="11" spans="1:7" x14ac:dyDescent="0.3">
      <c r="A11" t="s">
        <v>35</v>
      </c>
      <c r="D11" s="69">
        <v>2010</v>
      </c>
      <c r="G11">
        <f>SUM(C11:E11)</f>
        <v>2010</v>
      </c>
    </row>
    <row r="12" spans="1:7" x14ac:dyDescent="0.3">
      <c r="A12" t="s">
        <v>53</v>
      </c>
      <c r="C12">
        <v>0</v>
      </c>
      <c r="D12" s="43">
        <v>0</v>
      </c>
      <c r="G12">
        <f>SUM(C12:E12)</f>
        <v>0</v>
      </c>
    </row>
    <row r="13" spans="1:7" x14ac:dyDescent="0.3">
      <c r="A13" t="s">
        <v>140</v>
      </c>
      <c r="C13">
        <v>0</v>
      </c>
      <c r="D13" s="43">
        <v>2</v>
      </c>
      <c r="G13">
        <f>SUM(C13:E13)</f>
        <v>2</v>
      </c>
    </row>
    <row r="14" spans="1:7" x14ac:dyDescent="0.3">
      <c r="A14" t="s">
        <v>54</v>
      </c>
      <c r="C14">
        <v>0</v>
      </c>
      <c r="D14" s="43">
        <v>2181</v>
      </c>
      <c r="G14">
        <f>SUM(C14:E14)</f>
        <v>2181</v>
      </c>
    </row>
    <row r="15" spans="1:7" ht="15.6" x14ac:dyDescent="0.3">
      <c r="A15" s="25" t="s">
        <v>55</v>
      </c>
      <c r="B15" s="25"/>
      <c r="C15" s="25">
        <f>SUM(C11:C14)</f>
        <v>0</v>
      </c>
      <c r="D15" s="25">
        <f>SUM(D11:D14)</f>
        <v>4193</v>
      </c>
      <c r="E15" s="25"/>
      <c r="F15" s="25"/>
      <c r="G15" s="25">
        <f>SUM(G11:G14)</f>
        <v>4193</v>
      </c>
    </row>
    <row r="17" spans="1:7" x14ac:dyDescent="0.3">
      <c r="A17" s="29" t="s">
        <v>216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113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0</v>
      </c>
      <c r="C19" s="43">
        <v>2343</v>
      </c>
      <c r="D19" s="43">
        <v>51</v>
      </c>
      <c r="E19" s="43">
        <v>34</v>
      </c>
      <c r="F19" s="43">
        <v>0</v>
      </c>
      <c r="G19">
        <f>SUM(B19:F19)</f>
        <v>2428</v>
      </c>
    </row>
    <row r="20" spans="1:7" x14ac:dyDescent="0.3">
      <c r="A20" t="s">
        <v>36</v>
      </c>
      <c r="B20">
        <v>0</v>
      </c>
      <c r="C20" s="43">
        <v>0</v>
      </c>
      <c r="D20" s="43">
        <v>2</v>
      </c>
      <c r="E20" s="43">
        <v>0</v>
      </c>
      <c r="F20" s="43">
        <v>0</v>
      </c>
      <c r="G20">
        <f>SUM(B20:F20)</f>
        <v>2</v>
      </c>
    </row>
    <row r="21" spans="1:7" x14ac:dyDescent="0.3">
      <c r="A21" t="s">
        <v>37</v>
      </c>
      <c r="B21">
        <v>0</v>
      </c>
      <c r="C21" s="43">
        <v>883</v>
      </c>
      <c r="D21" s="43">
        <v>20</v>
      </c>
      <c r="E21" s="43">
        <v>130</v>
      </c>
      <c r="F21" s="43">
        <v>5</v>
      </c>
      <c r="G21">
        <f>SUM(B21:F21)</f>
        <v>1038</v>
      </c>
    </row>
    <row r="22" spans="1:7" ht="15.6" x14ac:dyDescent="0.3">
      <c r="A22" t="s">
        <v>34</v>
      </c>
      <c r="C22" s="25">
        <f>SUM(C19:C21)</f>
        <v>3226</v>
      </c>
      <c r="D22" s="25">
        <f>SUM(D19:D21)</f>
        <v>73</v>
      </c>
      <c r="E22" s="25">
        <f>SUM(E19:E21)</f>
        <v>164</v>
      </c>
      <c r="F22" s="25">
        <v>3</v>
      </c>
      <c r="G22" s="25">
        <f>SUM(G19:G21)</f>
        <v>3468</v>
      </c>
    </row>
    <row r="24" spans="1:7" x14ac:dyDescent="0.3">
      <c r="A24" s="24" t="s">
        <v>217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653</v>
      </c>
      <c r="D26" s="43">
        <v>43609</v>
      </c>
      <c r="E26">
        <v>0</v>
      </c>
      <c r="G26">
        <f>SUM(C26:F26)</f>
        <v>44262</v>
      </c>
    </row>
    <row r="27" spans="1:7" x14ac:dyDescent="0.3">
      <c r="A27" t="s">
        <v>36</v>
      </c>
      <c r="C27">
        <v>0</v>
      </c>
      <c r="D27">
        <v>8</v>
      </c>
      <c r="E27">
        <v>0</v>
      </c>
      <c r="G27">
        <f>SUM(C27:F27)</f>
        <v>8</v>
      </c>
    </row>
    <row r="28" spans="1:7" x14ac:dyDescent="0.3">
      <c r="A28" t="s">
        <v>141</v>
      </c>
      <c r="C28">
        <v>0</v>
      </c>
      <c r="D28">
        <v>10</v>
      </c>
      <c r="E28">
        <v>0</v>
      </c>
      <c r="G28">
        <f>SUM(C28:F28)</f>
        <v>10</v>
      </c>
    </row>
    <row r="29" spans="1:7" x14ac:dyDescent="0.3">
      <c r="A29" t="s">
        <v>37</v>
      </c>
      <c r="C29">
        <v>2920</v>
      </c>
      <c r="D29" s="43">
        <v>34845</v>
      </c>
      <c r="E29">
        <v>0</v>
      </c>
      <c r="G29">
        <f>SUM(C29:F29)</f>
        <v>37765</v>
      </c>
    </row>
    <row r="30" spans="1:7" ht="15.6" x14ac:dyDescent="0.3">
      <c r="A30" s="25" t="s">
        <v>63</v>
      </c>
      <c r="B30" s="25"/>
      <c r="C30" s="25">
        <f>SUM(C26:C29)</f>
        <v>3573</v>
      </c>
      <c r="D30" s="61">
        <f>SUM(D26:D29)</f>
        <v>78472</v>
      </c>
      <c r="E30" s="25">
        <f>SUM(E26:E29)</f>
        <v>0</v>
      </c>
      <c r="F30" s="25"/>
      <c r="G30" s="25">
        <f>SUM(G26:G29)</f>
        <v>82045</v>
      </c>
    </row>
    <row r="32" spans="1:7" ht="15.6" x14ac:dyDescent="0.3">
      <c r="A32" s="26" t="s">
        <v>218</v>
      </c>
      <c r="B32" s="26"/>
      <c r="C32" s="24"/>
      <c r="D32" s="24"/>
      <c r="E32" s="24"/>
      <c r="F32" s="24"/>
    </row>
    <row r="33" spans="1:6" x14ac:dyDescent="0.3">
      <c r="A33" t="s">
        <v>35</v>
      </c>
      <c r="F33">
        <f>G26-G3</f>
        <v>-418</v>
      </c>
    </row>
    <row r="34" spans="1:6" x14ac:dyDescent="0.3">
      <c r="A34" t="s">
        <v>36</v>
      </c>
      <c r="F34">
        <f>G27-G4</f>
        <v>-2</v>
      </c>
    </row>
    <row r="35" spans="1:6" x14ac:dyDescent="0.3">
      <c r="A35" t="s">
        <v>37</v>
      </c>
      <c r="F35">
        <f>G29-G6</f>
        <v>1144</v>
      </c>
    </row>
    <row r="36" spans="1:6" ht="15.6" x14ac:dyDescent="0.3">
      <c r="A36" s="25" t="s">
        <v>34</v>
      </c>
      <c r="B36" s="25"/>
      <c r="C36" s="25"/>
      <c r="D36" s="25"/>
      <c r="E36" s="25"/>
      <c r="F36" s="25">
        <f>SUM(F33:F35)</f>
        <v>724</v>
      </c>
    </row>
    <row r="38" spans="1:6" x14ac:dyDescent="0.3">
      <c r="A38" t="s">
        <v>46</v>
      </c>
    </row>
    <row r="39" spans="1:6" x14ac:dyDescent="0.3">
      <c r="A39" t="s">
        <v>47</v>
      </c>
    </row>
    <row r="40" spans="1:6" x14ac:dyDescent="0.3">
      <c r="A40" t="s">
        <v>48</v>
      </c>
    </row>
    <row r="41" spans="1:6" x14ac:dyDescent="0.3">
      <c r="A41" t="s">
        <v>49</v>
      </c>
    </row>
    <row r="42" spans="1:6" x14ac:dyDescent="0.3">
      <c r="A42" t="s">
        <v>50</v>
      </c>
    </row>
    <row r="43" spans="1:6" x14ac:dyDescent="0.3">
      <c r="A43" t="s">
        <v>114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33"/>
  <dimension ref="A1:G43"/>
  <sheetViews>
    <sheetView topLeftCell="A16" workbookViewId="0"/>
  </sheetViews>
  <sheetFormatPr defaultRowHeight="14.4" x14ac:dyDescent="0.3"/>
  <sheetData>
    <row r="1" spans="1:7" x14ac:dyDescent="0.3">
      <c r="A1" s="24" t="s">
        <v>220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>
        <v>653</v>
      </c>
      <c r="D3" s="43">
        <v>43609</v>
      </c>
      <c r="E3">
        <v>0</v>
      </c>
      <c r="G3">
        <f>SUM(C3:F3)</f>
        <v>44262</v>
      </c>
    </row>
    <row r="4" spans="1:7" x14ac:dyDescent="0.3">
      <c r="A4" t="s">
        <v>36</v>
      </c>
      <c r="C4">
        <v>0</v>
      </c>
      <c r="D4">
        <v>8</v>
      </c>
      <c r="E4">
        <v>0</v>
      </c>
      <c r="G4">
        <f>SUM(C4:F4)</f>
        <v>8</v>
      </c>
    </row>
    <row r="5" spans="1:7" x14ac:dyDescent="0.3">
      <c r="A5" t="s">
        <v>141</v>
      </c>
      <c r="C5">
        <v>0</v>
      </c>
      <c r="D5">
        <v>10</v>
      </c>
      <c r="E5">
        <v>0</v>
      </c>
      <c r="G5">
        <f>SUM(C5:F5)</f>
        <v>10</v>
      </c>
    </row>
    <row r="6" spans="1:7" x14ac:dyDescent="0.3">
      <c r="A6" t="s">
        <v>37</v>
      </c>
      <c r="C6">
        <v>2920</v>
      </c>
      <c r="D6" s="43">
        <v>34845</v>
      </c>
      <c r="E6">
        <v>0</v>
      </c>
      <c r="G6">
        <f>SUM(C6:F6)</f>
        <v>37765</v>
      </c>
    </row>
    <row r="7" spans="1:7" ht="15.6" x14ac:dyDescent="0.3">
      <c r="A7" s="25" t="s">
        <v>63</v>
      </c>
      <c r="B7" s="25"/>
      <c r="C7" s="25">
        <f>SUM(C3:C6)</f>
        <v>3573</v>
      </c>
      <c r="D7" s="61">
        <f>SUM(D3:D6)</f>
        <v>78472</v>
      </c>
      <c r="E7" s="25">
        <f>SUM(E3:E6)</f>
        <v>0</v>
      </c>
      <c r="F7" s="25"/>
      <c r="G7" s="25">
        <f>SUM(G3:G6)</f>
        <v>82045</v>
      </c>
    </row>
    <row r="8" spans="1:7" ht="15.6" x14ac:dyDescent="0.3">
      <c r="A8" s="25"/>
      <c r="B8" s="25"/>
      <c r="C8" s="25"/>
      <c r="D8" s="61"/>
      <c r="E8" s="25"/>
      <c r="F8" s="25"/>
      <c r="G8" s="25"/>
    </row>
    <row r="9" spans="1:7" x14ac:dyDescent="0.3">
      <c r="A9" s="24" t="s">
        <v>221</v>
      </c>
      <c r="B9" s="24"/>
      <c r="C9" s="24"/>
      <c r="D9" s="24"/>
      <c r="E9" s="24"/>
      <c r="F9" s="24"/>
      <c r="G9" s="24"/>
    </row>
    <row r="10" spans="1:7" x14ac:dyDescent="0.3">
      <c r="C10" t="s">
        <v>57</v>
      </c>
      <c r="D10" t="s">
        <v>33</v>
      </c>
      <c r="G10" t="s">
        <v>56</v>
      </c>
    </row>
    <row r="11" spans="1:7" x14ac:dyDescent="0.3">
      <c r="A11" t="s">
        <v>35</v>
      </c>
      <c r="C11">
        <v>8</v>
      </c>
      <c r="D11" s="69">
        <v>12</v>
      </c>
      <c r="G11">
        <f>SUM(C11:E11)</f>
        <v>20</v>
      </c>
    </row>
    <row r="12" spans="1:7" x14ac:dyDescent="0.3">
      <c r="A12" t="s">
        <v>53</v>
      </c>
      <c r="C12">
        <v>0</v>
      </c>
      <c r="D12" s="43">
        <v>0</v>
      </c>
      <c r="G12">
        <f>SUM(C12:E12)</f>
        <v>0</v>
      </c>
    </row>
    <row r="13" spans="1:7" x14ac:dyDescent="0.3">
      <c r="A13" t="s">
        <v>140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54</v>
      </c>
      <c r="C14">
        <v>0</v>
      </c>
      <c r="D14" s="43">
        <v>1292</v>
      </c>
      <c r="G14">
        <f>SUM(C14:E14)</f>
        <v>1292</v>
      </c>
    </row>
    <row r="15" spans="1:7" ht="15.6" x14ac:dyDescent="0.3">
      <c r="A15" s="25" t="s">
        <v>55</v>
      </c>
      <c r="B15" s="25"/>
      <c r="C15" s="25">
        <f>SUM(C11:C14)</f>
        <v>8</v>
      </c>
      <c r="D15" s="25">
        <f>SUM(D11:D14)</f>
        <v>1304</v>
      </c>
      <c r="E15" s="25"/>
      <c r="F15" s="25"/>
      <c r="G15" s="25">
        <f>SUM(G11:G14)</f>
        <v>1312</v>
      </c>
    </row>
    <row r="17" spans="1:7" x14ac:dyDescent="0.3">
      <c r="A17" s="29" t="s">
        <v>222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113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0</v>
      </c>
      <c r="C19" s="43">
        <v>273</v>
      </c>
      <c r="D19" s="43">
        <v>14</v>
      </c>
      <c r="E19" s="43">
        <v>26</v>
      </c>
      <c r="F19" s="43">
        <v>0</v>
      </c>
      <c r="G19">
        <f>SUM(B19:F19)</f>
        <v>313</v>
      </c>
    </row>
    <row r="20" spans="1:7" x14ac:dyDescent="0.3">
      <c r="A20" t="s">
        <v>36</v>
      </c>
      <c r="B20">
        <v>0</v>
      </c>
      <c r="C20" s="43">
        <v>0</v>
      </c>
      <c r="D20" s="43">
        <v>2</v>
      </c>
      <c r="E20" s="43">
        <v>0</v>
      </c>
      <c r="F20" s="43">
        <v>0</v>
      </c>
      <c r="G20">
        <f>SUM(B20:F20)</f>
        <v>2</v>
      </c>
    </row>
    <row r="21" spans="1:7" x14ac:dyDescent="0.3">
      <c r="A21" t="s">
        <v>37</v>
      </c>
      <c r="B21">
        <v>0</v>
      </c>
      <c r="C21" s="43">
        <v>752</v>
      </c>
      <c r="D21" s="43">
        <v>16</v>
      </c>
      <c r="E21" s="43">
        <v>87</v>
      </c>
      <c r="F21" s="43">
        <v>24</v>
      </c>
      <c r="G21">
        <f>SUM(B21:F21)</f>
        <v>879</v>
      </c>
    </row>
    <row r="22" spans="1:7" ht="15.6" x14ac:dyDescent="0.3">
      <c r="A22" t="s">
        <v>34</v>
      </c>
      <c r="C22" s="25">
        <f>SUM(C19:C21)</f>
        <v>1025</v>
      </c>
      <c r="D22" s="25">
        <f>SUM(D19:D21)</f>
        <v>32</v>
      </c>
      <c r="E22" s="25">
        <f>SUM(E19:E21)</f>
        <v>113</v>
      </c>
      <c r="F22" s="25">
        <v>3</v>
      </c>
      <c r="G22" s="25">
        <f>SUM(G19:G21)</f>
        <v>1194</v>
      </c>
    </row>
    <row r="24" spans="1:7" x14ac:dyDescent="0.3">
      <c r="A24" s="24" t="s">
        <v>223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387</v>
      </c>
      <c r="D26" s="43">
        <v>43582</v>
      </c>
      <c r="E26">
        <v>0</v>
      </c>
      <c r="G26">
        <f>SUM(C26:F26)</f>
        <v>43969</v>
      </c>
    </row>
    <row r="27" spans="1:7" x14ac:dyDescent="0.3">
      <c r="A27" t="s">
        <v>36</v>
      </c>
      <c r="C27">
        <v>0</v>
      </c>
      <c r="D27">
        <v>6</v>
      </c>
      <c r="E27">
        <v>0</v>
      </c>
      <c r="G27">
        <f>SUM(C27:F27)</f>
        <v>6</v>
      </c>
    </row>
    <row r="28" spans="1:7" x14ac:dyDescent="0.3">
      <c r="A28" t="s">
        <v>141</v>
      </c>
      <c r="C28">
        <v>0</v>
      </c>
      <c r="D28">
        <v>10</v>
      </c>
      <c r="E28">
        <v>0</v>
      </c>
      <c r="G28">
        <f>SUM(C28:F28)</f>
        <v>10</v>
      </c>
    </row>
    <row r="29" spans="1:7" x14ac:dyDescent="0.3">
      <c r="A29" t="s">
        <v>37</v>
      </c>
      <c r="C29">
        <v>3172</v>
      </c>
      <c r="D29" s="43">
        <v>35006</v>
      </c>
      <c r="E29">
        <v>0</v>
      </c>
      <c r="G29">
        <f>SUM(C29:F29)</f>
        <v>38178</v>
      </c>
    </row>
    <row r="30" spans="1:7" ht="15.6" x14ac:dyDescent="0.3">
      <c r="A30" s="25" t="s">
        <v>63</v>
      </c>
      <c r="B30" s="25"/>
      <c r="C30" s="25">
        <f>SUM(C26:C29)</f>
        <v>3559</v>
      </c>
      <c r="D30" s="61">
        <f>SUM(D26:D29)</f>
        <v>78604</v>
      </c>
      <c r="E30" s="25">
        <f>SUM(E26:E29)</f>
        <v>0</v>
      </c>
      <c r="F30" s="25"/>
      <c r="G30" s="25">
        <f>SUM(G26:G29)</f>
        <v>82163</v>
      </c>
    </row>
    <row r="32" spans="1:7" ht="15.6" x14ac:dyDescent="0.3">
      <c r="A32" s="26" t="s">
        <v>242</v>
      </c>
      <c r="B32" s="26"/>
      <c r="C32" s="24"/>
      <c r="D32" s="24"/>
      <c r="E32" s="24"/>
      <c r="F32" s="24"/>
    </row>
    <row r="33" spans="1:6" x14ac:dyDescent="0.3">
      <c r="A33" t="s">
        <v>35</v>
      </c>
      <c r="F33">
        <f>G26-G3</f>
        <v>-293</v>
      </c>
    </row>
    <row r="34" spans="1:6" x14ac:dyDescent="0.3">
      <c r="A34" t="s">
        <v>36</v>
      </c>
      <c r="F34">
        <f>G27-G4</f>
        <v>-2</v>
      </c>
    </row>
    <row r="35" spans="1:6" x14ac:dyDescent="0.3">
      <c r="A35" t="s">
        <v>37</v>
      </c>
      <c r="F35">
        <f>G29-G6</f>
        <v>413</v>
      </c>
    </row>
    <row r="36" spans="1:6" ht="15.6" x14ac:dyDescent="0.3">
      <c r="A36" s="25" t="s">
        <v>34</v>
      </c>
      <c r="B36" s="25"/>
      <c r="C36" s="25"/>
      <c r="D36" s="25"/>
      <c r="E36" s="25"/>
      <c r="F36" s="25">
        <f>SUM(F33:F35)</f>
        <v>118</v>
      </c>
    </row>
    <row r="38" spans="1:6" x14ac:dyDescent="0.3">
      <c r="A38" t="s">
        <v>46</v>
      </c>
    </row>
    <row r="39" spans="1:6" x14ac:dyDescent="0.3">
      <c r="A39" t="s">
        <v>47</v>
      </c>
    </row>
    <row r="40" spans="1:6" x14ac:dyDescent="0.3">
      <c r="A40" t="s">
        <v>48</v>
      </c>
    </row>
    <row r="41" spans="1:6" x14ac:dyDescent="0.3">
      <c r="A41" t="s">
        <v>49</v>
      </c>
    </row>
    <row r="42" spans="1:6" x14ac:dyDescent="0.3">
      <c r="A42" t="s">
        <v>50</v>
      </c>
    </row>
    <row r="43" spans="1:6" x14ac:dyDescent="0.3">
      <c r="A43" t="s">
        <v>114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34"/>
  <dimension ref="A1:G43"/>
  <sheetViews>
    <sheetView topLeftCell="A16" workbookViewId="0"/>
  </sheetViews>
  <sheetFormatPr defaultRowHeight="14.4" x14ac:dyDescent="0.3"/>
  <sheetData>
    <row r="1" spans="1:7" x14ac:dyDescent="0.3">
      <c r="A1" s="24" t="s">
        <v>223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>
        <v>387</v>
      </c>
      <c r="D3" s="43">
        <v>43582</v>
      </c>
      <c r="E3">
        <v>0</v>
      </c>
      <c r="G3">
        <f>SUM(C3:F3)</f>
        <v>43969</v>
      </c>
    </row>
    <row r="4" spans="1:7" x14ac:dyDescent="0.3">
      <c r="A4" t="s">
        <v>36</v>
      </c>
      <c r="C4">
        <v>0</v>
      </c>
      <c r="D4">
        <v>6</v>
      </c>
      <c r="E4">
        <v>0</v>
      </c>
      <c r="G4">
        <f>SUM(C4:F4)</f>
        <v>6</v>
      </c>
    </row>
    <row r="5" spans="1:7" x14ac:dyDescent="0.3">
      <c r="A5" t="s">
        <v>141</v>
      </c>
      <c r="C5">
        <v>0</v>
      </c>
      <c r="D5">
        <v>10</v>
      </c>
      <c r="E5">
        <v>0</v>
      </c>
      <c r="G5">
        <f>SUM(C5:F5)</f>
        <v>10</v>
      </c>
    </row>
    <row r="6" spans="1:7" x14ac:dyDescent="0.3">
      <c r="A6" t="s">
        <v>37</v>
      </c>
      <c r="C6">
        <v>3172</v>
      </c>
      <c r="D6" s="43">
        <v>35006</v>
      </c>
      <c r="E6">
        <v>0</v>
      </c>
      <c r="G6">
        <f>SUM(C6:F6)</f>
        <v>38178</v>
      </c>
    </row>
    <row r="7" spans="1:7" ht="15.6" x14ac:dyDescent="0.3">
      <c r="A7" s="25" t="s">
        <v>63</v>
      </c>
      <c r="B7" s="25"/>
      <c r="C7" s="25">
        <f>SUM(C3:C6)</f>
        <v>3559</v>
      </c>
      <c r="D7" s="61">
        <f>SUM(D3:D6)</f>
        <v>78604</v>
      </c>
      <c r="E7" s="25">
        <f>SUM(E3:E6)</f>
        <v>0</v>
      </c>
      <c r="F7" s="25"/>
      <c r="G7" s="25">
        <f>SUM(G3:G6)</f>
        <v>82163</v>
      </c>
    </row>
    <row r="8" spans="1:7" ht="15.6" x14ac:dyDescent="0.3">
      <c r="A8" s="25"/>
      <c r="B8" s="25"/>
      <c r="C8" s="25"/>
      <c r="D8" s="61"/>
      <c r="E8" s="25"/>
      <c r="F8" s="25"/>
      <c r="G8" s="25"/>
    </row>
    <row r="9" spans="1:7" x14ac:dyDescent="0.3">
      <c r="A9" s="24" t="s">
        <v>224</v>
      </c>
      <c r="B9" s="24"/>
      <c r="C9" s="24"/>
      <c r="D9" s="24"/>
      <c r="E9" s="24"/>
      <c r="F9" s="24"/>
      <c r="G9" s="24"/>
    </row>
    <row r="10" spans="1:7" x14ac:dyDescent="0.3">
      <c r="C10" t="s">
        <v>57</v>
      </c>
      <c r="D10" t="s">
        <v>33</v>
      </c>
      <c r="G10" t="s">
        <v>56</v>
      </c>
    </row>
    <row r="11" spans="1:7" x14ac:dyDescent="0.3">
      <c r="A11" t="s">
        <v>35</v>
      </c>
      <c r="C11">
        <v>0</v>
      </c>
      <c r="D11" s="69">
        <v>5</v>
      </c>
      <c r="G11">
        <f>SUM(C11:E11)</f>
        <v>5</v>
      </c>
    </row>
    <row r="12" spans="1:7" x14ac:dyDescent="0.3">
      <c r="A12" t="s">
        <v>53</v>
      </c>
      <c r="C12">
        <v>0</v>
      </c>
      <c r="D12" s="43">
        <v>0</v>
      </c>
      <c r="G12">
        <f>SUM(C12:E12)</f>
        <v>0</v>
      </c>
    </row>
    <row r="13" spans="1:7" x14ac:dyDescent="0.3">
      <c r="A13" t="s">
        <v>140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54</v>
      </c>
      <c r="C14">
        <v>0</v>
      </c>
      <c r="D14" s="43">
        <v>1359</v>
      </c>
      <c r="G14">
        <f>SUM(C14:E14)</f>
        <v>1359</v>
      </c>
    </row>
    <row r="15" spans="1:7" ht="15.6" x14ac:dyDescent="0.3">
      <c r="A15" s="25" t="s">
        <v>55</v>
      </c>
      <c r="B15" s="25"/>
      <c r="C15" s="25">
        <f>SUM(C11:C14)</f>
        <v>0</v>
      </c>
      <c r="D15" s="25">
        <f>SUM(D11:D14)</f>
        <v>1364</v>
      </c>
      <c r="E15" s="25"/>
      <c r="F15" s="25"/>
      <c r="G15" s="25">
        <f>SUM(G11:G14)</f>
        <v>1364</v>
      </c>
    </row>
    <row r="17" spans="1:7" x14ac:dyDescent="0.3">
      <c r="A17" s="29" t="s">
        <v>225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113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0</v>
      </c>
      <c r="C19" s="43">
        <v>61</v>
      </c>
      <c r="D19" s="43">
        <v>15</v>
      </c>
      <c r="E19" s="43">
        <v>24</v>
      </c>
      <c r="F19" s="43">
        <v>2</v>
      </c>
      <c r="G19">
        <f>SUM(B19:F19)</f>
        <v>102</v>
      </c>
    </row>
    <row r="20" spans="1:7" x14ac:dyDescent="0.3">
      <c r="A20" t="s">
        <v>36</v>
      </c>
      <c r="B20">
        <v>0</v>
      </c>
      <c r="C20" s="43">
        <v>0</v>
      </c>
      <c r="D20" s="43">
        <v>6</v>
      </c>
      <c r="E20" s="43">
        <v>0</v>
      </c>
      <c r="F20" s="43">
        <v>0</v>
      </c>
      <c r="G20">
        <f>SUM(B20:F20)</f>
        <v>6</v>
      </c>
    </row>
    <row r="21" spans="1:7" x14ac:dyDescent="0.3">
      <c r="A21" t="s">
        <v>37</v>
      </c>
      <c r="B21">
        <v>0</v>
      </c>
      <c r="C21" s="43">
        <v>774</v>
      </c>
      <c r="D21" s="43">
        <v>11</v>
      </c>
      <c r="E21" s="43">
        <v>46</v>
      </c>
      <c r="F21" s="43">
        <v>4</v>
      </c>
      <c r="G21">
        <f>SUM(B21:F21)</f>
        <v>835</v>
      </c>
    </row>
    <row r="22" spans="1:7" ht="15.6" x14ac:dyDescent="0.3">
      <c r="A22" t="s">
        <v>34</v>
      </c>
      <c r="C22" s="25">
        <f>SUM(C19:C21)</f>
        <v>835</v>
      </c>
      <c r="D22" s="25">
        <f>SUM(D19:D21)</f>
        <v>32</v>
      </c>
      <c r="E22" s="25">
        <f>SUM(E19:E21)</f>
        <v>70</v>
      </c>
      <c r="F22" s="25">
        <v>3</v>
      </c>
      <c r="G22" s="25">
        <f>SUM(G19:G21)</f>
        <v>943</v>
      </c>
    </row>
    <row r="24" spans="1:7" x14ac:dyDescent="0.3">
      <c r="A24" s="24" t="s">
        <v>226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331</v>
      </c>
      <c r="D26" s="43">
        <v>43541</v>
      </c>
      <c r="E26">
        <v>0</v>
      </c>
      <c r="G26">
        <f>SUM(C26:F26)</f>
        <v>43872</v>
      </c>
    </row>
    <row r="27" spans="1:7" x14ac:dyDescent="0.3">
      <c r="A27" t="s">
        <v>36</v>
      </c>
      <c r="C27">
        <v>0</v>
      </c>
      <c r="D27">
        <v>0</v>
      </c>
      <c r="E27">
        <v>0</v>
      </c>
      <c r="G27">
        <f>SUM(C27:F27)</f>
        <v>0</v>
      </c>
    </row>
    <row r="28" spans="1:7" x14ac:dyDescent="0.3">
      <c r="A28" t="s">
        <v>141</v>
      </c>
      <c r="C28">
        <v>0</v>
      </c>
      <c r="D28">
        <v>10</v>
      </c>
      <c r="E28">
        <v>0</v>
      </c>
      <c r="G28">
        <f>SUM(C28:F28)</f>
        <v>10</v>
      </c>
    </row>
    <row r="29" spans="1:7" x14ac:dyDescent="0.3">
      <c r="A29" t="s">
        <v>37</v>
      </c>
      <c r="C29">
        <v>3598</v>
      </c>
      <c r="D29" s="43">
        <v>35104</v>
      </c>
      <c r="E29">
        <v>0</v>
      </c>
      <c r="G29">
        <f>SUM(C29:F29)</f>
        <v>38702</v>
      </c>
    </row>
    <row r="30" spans="1:7" ht="15.6" x14ac:dyDescent="0.3">
      <c r="A30" s="25" t="s">
        <v>63</v>
      </c>
      <c r="B30" s="25"/>
      <c r="C30" s="25">
        <f>SUM(C26:C29)</f>
        <v>3929</v>
      </c>
      <c r="D30" s="61">
        <f>SUM(D26:D29)</f>
        <v>78655</v>
      </c>
      <c r="E30" s="25">
        <f>SUM(E26:E29)</f>
        <v>0</v>
      </c>
      <c r="F30" s="25"/>
      <c r="G30" s="25">
        <f>SUM(G26:G29)</f>
        <v>82584</v>
      </c>
    </row>
    <row r="32" spans="1:7" ht="15.6" x14ac:dyDescent="0.3">
      <c r="A32" s="26" t="s">
        <v>241</v>
      </c>
      <c r="B32" s="26"/>
      <c r="C32" s="24"/>
      <c r="D32" s="24"/>
      <c r="E32" s="24"/>
      <c r="F32" s="24"/>
    </row>
    <row r="33" spans="1:6" x14ac:dyDescent="0.3">
      <c r="A33" t="s">
        <v>35</v>
      </c>
      <c r="F33">
        <f>G26-G3</f>
        <v>-97</v>
      </c>
    </row>
    <row r="34" spans="1:6" x14ac:dyDescent="0.3">
      <c r="A34" t="s">
        <v>36</v>
      </c>
      <c r="F34">
        <f>G27-G4</f>
        <v>-6</v>
      </c>
    </row>
    <row r="35" spans="1:6" x14ac:dyDescent="0.3">
      <c r="A35" t="s">
        <v>37</v>
      </c>
      <c r="F35">
        <f>G29-G6</f>
        <v>524</v>
      </c>
    </row>
    <row r="36" spans="1:6" ht="15.6" x14ac:dyDescent="0.3">
      <c r="A36" s="25" t="s">
        <v>34</v>
      </c>
      <c r="B36" s="25"/>
      <c r="C36" s="25"/>
      <c r="D36" s="25"/>
      <c r="E36" s="25"/>
      <c r="F36" s="25">
        <f>SUM(F33:F35)</f>
        <v>421</v>
      </c>
    </row>
    <row r="38" spans="1:6" x14ac:dyDescent="0.3">
      <c r="A38" t="s">
        <v>46</v>
      </c>
    </row>
    <row r="39" spans="1:6" x14ac:dyDescent="0.3">
      <c r="A39" t="s">
        <v>47</v>
      </c>
    </row>
    <row r="40" spans="1:6" x14ac:dyDescent="0.3">
      <c r="A40" t="s">
        <v>48</v>
      </c>
    </row>
    <row r="41" spans="1:6" x14ac:dyDescent="0.3">
      <c r="A41" t="s">
        <v>49</v>
      </c>
    </row>
    <row r="42" spans="1:6" x14ac:dyDescent="0.3">
      <c r="A42" t="s">
        <v>50</v>
      </c>
    </row>
    <row r="43" spans="1:6" x14ac:dyDescent="0.3">
      <c r="A43" t="s">
        <v>114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35"/>
  <dimension ref="A1:G43"/>
  <sheetViews>
    <sheetView topLeftCell="A11" workbookViewId="0"/>
  </sheetViews>
  <sheetFormatPr defaultRowHeight="14.4" x14ac:dyDescent="0.3"/>
  <sheetData>
    <row r="1" spans="1:7" x14ac:dyDescent="0.3">
      <c r="A1" s="24" t="s">
        <v>226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>
        <v>331</v>
      </c>
      <c r="D3" s="43">
        <v>43541</v>
      </c>
      <c r="E3">
        <v>0</v>
      </c>
      <c r="G3">
        <f>SUM(C3:F3)</f>
        <v>43872</v>
      </c>
    </row>
    <row r="4" spans="1:7" x14ac:dyDescent="0.3">
      <c r="A4" t="s">
        <v>36</v>
      </c>
      <c r="C4">
        <v>0</v>
      </c>
      <c r="D4">
        <v>0</v>
      </c>
      <c r="E4">
        <v>0</v>
      </c>
      <c r="G4">
        <f>SUM(C4:F4)</f>
        <v>0</v>
      </c>
    </row>
    <row r="5" spans="1:7" x14ac:dyDescent="0.3">
      <c r="A5" t="s">
        <v>141</v>
      </c>
      <c r="C5">
        <v>0</v>
      </c>
      <c r="D5">
        <v>10</v>
      </c>
      <c r="E5">
        <v>0</v>
      </c>
      <c r="G5">
        <f>SUM(C5:F5)</f>
        <v>10</v>
      </c>
    </row>
    <row r="6" spans="1:7" x14ac:dyDescent="0.3">
      <c r="A6" t="s">
        <v>37</v>
      </c>
      <c r="C6">
        <v>3598</v>
      </c>
      <c r="D6" s="43">
        <v>35104</v>
      </c>
      <c r="E6">
        <v>0</v>
      </c>
      <c r="G6">
        <f>SUM(C6:F6)</f>
        <v>38702</v>
      </c>
    </row>
    <row r="7" spans="1:7" ht="15.6" x14ac:dyDescent="0.3">
      <c r="A7" s="25" t="s">
        <v>63</v>
      </c>
      <c r="B7" s="25"/>
      <c r="C7" s="25">
        <f>SUM(C3:C6)</f>
        <v>3929</v>
      </c>
      <c r="D7" s="61">
        <f>SUM(D3:D6)</f>
        <v>78655</v>
      </c>
      <c r="E7" s="25">
        <f>SUM(E3:E6)</f>
        <v>0</v>
      </c>
      <c r="F7" s="25"/>
      <c r="G7" s="25">
        <f>SUM(G3:G6)</f>
        <v>82584</v>
      </c>
    </row>
    <row r="8" spans="1:7" ht="15.6" x14ac:dyDescent="0.3">
      <c r="A8" s="25"/>
      <c r="B8" s="25"/>
      <c r="C8" s="25"/>
      <c r="D8" s="61"/>
      <c r="E8" s="25"/>
      <c r="F8" s="25"/>
      <c r="G8" s="25"/>
    </row>
    <row r="9" spans="1:7" x14ac:dyDescent="0.3">
      <c r="A9" s="24" t="s">
        <v>227</v>
      </c>
      <c r="B9" s="24"/>
      <c r="C9" s="24"/>
      <c r="D9" s="24"/>
      <c r="E9" s="24"/>
      <c r="F9" s="24"/>
      <c r="G9" s="24"/>
    </row>
    <row r="10" spans="1:7" x14ac:dyDescent="0.3">
      <c r="C10" t="s">
        <v>57</v>
      </c>
      <c r="D10" t="s">
        <v>33</v>
      </c>
      <c r="G10" t="s">
        <v>56</v>
      </c>
    </row>
    <row r="11" spans="1:7" x14ac:dyDescent="0.3">
      <c r="A11" t="s">
        <v>35</v>
      </c>
      <c r="C11">
        <v>0</v>
      </c>
      <c r="D11" s="69">
        <v>17</v>
      </c>
      <c r="G11">
        <f>SUM(C11:E11)</f>
        <v>17</v>
      </c>
    </row>
    <row r="12" spans="1:7" x14ac:dyDescent="0.3">
      <c r="A12" t="s">
        <v>53</v>
      </c>
      <c r="C12">
        <v>0</v>
      </c>
      <c r="D12" s="43">
        <v>0</v>
      </c>
      <c r="G12">
        <f>SUM(C12:E12)</f>
        <v>0</v>
      </c>
    </row>
    <row r="13" spans="1:7" x14ac:dyDescent="0.3">
      <c r="A13" t="s">
        <v>140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54</v>
      </c>
      <c r="C14">
        <v>2</v>
      </c>
      <c r="D14" s="43">
        <v>1508</v>
      </c>
      <c r="G14">
        <f>SUM(C14:E14)</f>
        <v>1510</v>
      </c>
    </row>
    <row r="15" spans="1:7" ht="15.6" x14ac:dyDescent="0.3">
      <c r="A15" s="25" t="s">
        <v>55</v>
      </c>
      <c r="B15" s="25"/>
      <c r="C15" s="25">
        <f>SUM(C11:C14)</f>
        <v>2</v>
      </c>
      <c r="D15" s="25">
        <f>SUM(D11:D14)</f>
        <v>1525</v>
      </c>
      <c r="E15" s="25"/>
      <c r="F15" s="25"/>
      <c r="G15" s="25">
        <f>SUM(G11:G14)</f>
        <v>1527</v>
      </c>
    </row>
    <row r="17" spans="1:7" x14ac:dyDescent="0.3">
      <c r="A17" s="29" t="s">
        <v>228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113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0</v>
      </c>
      <c r="C19" s="43">
        <v>35</v>
      </c>
      <c r="D19" s="43">
        <v>49</v>
      </c>
      <c r="E19" s="43">
        <v>43</v>
      </c>
      <c r="F19" s="43">
        <v>0</v>
      </c>
      <c r="G19">
        <f>SUM(B19:F19)</f>
        <v>127</v>
      </c>
    </row>
    <row r="20" spans="1:7" x14ac:dyDescent="0.3">
      <c r="A20" t="s">
        <v>36</v>
      </c>
      <c r="B20">
        <v>0</v>
      </c>
      <c r="C20" s="43">
        <v>0</v>
      </c>
      <c r="D20" s="43">
        <v>0</v>
      </c>
      <c r="E20" s="43">
        <v>0</v>
      </c>
      <c r="F20" s="43">
        <v>0</v>
      </c>
      <c r="G20">
        <f>SUM(B20:F20)</f>
        <v>0</v>
      </c>
    </row>
    <row r="21" spans="1:7" x14ac:dyDescent="0.3">
      <c r="A21" t="s">
        <v>37</v>
      </c>
      <c r="B21">
        <v>0</v>
      </c>
      <c r="C21" s="43">
        <v>889</v>
      </c>
      <c r="D21" s="43">
        <v>97</v>
      </c>
      <c r="E21" s="43">
        <v>55</v>
      </c>
      <c r="F21" s="43">
        <v>6</v>
      </c>
      <c r="G21">
        <f>SUM(B21:F21)</f>
        <v>1047</v>
      </c>
    </row>
    <row r="22" spans="1:7" ht="15.6" x14ac:dyDescent="0.3">
      <c r="A22" t="s">
        <v>34</v>
      </c>
      <c r="C22" s="25">
        <f>SUM(C19:C21)</f>
        <v>924</v>
      </c>
      <c r="D22" s="25">
        <f>SUM(D19:D21)</f>
        <v>146</v>
      </c>
      <c r="E22" s="25">
        <f>SUM(E19:E21)</f>
        <v>98</v>
      </c>
      <c r="F22" s="25">
        <v>3</v>
      </c>
      <c r="G22" s="25">
        <f>SUM(G19:G21)</f>
        <v>1174</v>
      </c>
    </row>
    <row r="24" spans="1:7" x14ac:dyDescent="0.3">
      <c r="A24" s="24" t="s">
        <v>229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297</v>
      </c>
      <c r="D26" s="43">
        <v>43465</v>
      </c>
      <c r="E26">
        <v>0</v>
      </c>
      <c r="G26">
        <f>SUM(C26:F26)</f>
        <v>43762</v>
      </c>
    </row>
    <row r="27" spans="1:7" x14ac:dyDescent="0.3">
      <c r="A27" t="s">
        <v>36</v>
      </c>
      <c r="C27">
        <v>0</v>
      </c>
      <c r="D27">
        <v>0</v>
      </c>
      <c r="E27">
        <v>0</v>
      </c>
      <c r="G27">
        <f>SUM(C27:F27)</f>
        <v>0</v>
      </c>
    </row>
    <row r="28" spans="1:7" x14ac:dyDescent="0.3">
      <c r="A28" t="s">
        <v>141</v>
      </c>
      <c r="C28">
        <v>0</v>
      </c>
      <c r="D28">
        <v>10</v>
      </c>
      <c r="E28">
        <v>0</v>
      </c>
      <c r="G28">
        <f>SUM(C28:F28)</f>
        <v>10</v>
      </c>
    </row>
    <row r="29" spans="1:7" x14ac:dyDescent="0.3">
      <c r="A29" t="s">
        <v>37</v>
      </c>
      <c r="C29">
        <v>4036</v>
      </c>
      <c r="D29" s="43">
        <v>35129</v>
      </c>
      <c r="E29">
        <v>0</v>
      </c>
      <c r="G29">
        <f>SUM(C29:F29)</f>
        <v>39165</v>
      </c>
    </row>
    <row r="30" spans="1:7" ht="15.6" x14ac:dyDescent="0.3">
      <c r="A30" s="25" t="s">
        <v>63</v>
      </c>
      <c r="B30" s="25"/>
      <c r="C30" s="25">
        <f>SUM(C26:C29)</f>
        <v>4333</v>
      </c>
      <c r="D30" s="61">
        <f>SUM(D26:D29)</f>
        <v>78604</v>
      </c>
      <c r="E30" s="25">
        <f>SUM(E26:E29)</f>
        <v>0</v>
      </c>
      <c r="F30" s="25"/>
      <c r="G30" s="25">
        <f>SUM(G26:G29)</f>
        <v>82937</v>
      </c>
    </row>
    <row r="32" spans="1:7" ht="15.6" x14ac:dyDescent="0.3">
      <c r="A32" s="26" t="s">
        <v>240</v>
      </c>
      <c r="B32" s="26"/>
      <c r="C32" s="24"/>
      <c r="D32" s="24"/>
      <c r="E32" s="24"/>
      <c r="F32" s="24"/>
    </row>
    <row r="33" spans="1:6" x14ac:dyDescent="0.3">
      <c r="A33" t="s">
        <v>35</v>
      </c>
      <c r="F33">
        <f>G26-G3</f>
        <v>-110</v>
      </c>
    </row>
    <row r="34" spans="1:6" x14ac:dyDescent="0.3">
      <c r="A34" t="s">
        <v>36</v>
      </c>
      <c r="F34">
        <f>G27-G4</f>
        <v>0</v>
      </c>
    </row>
    <row r="35" spans="1:6" x14ac:dyDescent="0.3">
      <c r="A35" t="s">
        <v>37</v>
      </c>
      <c r="F35">
        <f>G29-G6</f>
        <v>463</v>
      </c>
    </row>
    <row r="36" spans="1:6" ht="15.6" x14ac:dyDescent="0.3">
      <c r="A36" s="25" t="s">
        <v>34</v>
      </c>
      <c r="B36" s="25"/>
      <c r="C36" s="25"/>
      <c r="D36" s="25"/>
      <c r="E36" s="25"/>
      <c r="F36" s="25">
        <f>SUM(F33:F35)</f>
        <v>353</v>
      </c>
    </row>
    <row r="38" spans="1:6" x14ac:dyDescent="0.3">
      <c r="A38" t="s">
        <v>46</v>
      </c>
    </row>
    <row r="39" spans="1:6" x14ac:dyDescent="0.3">
      <c r="A39" t="s">
        <v>47</v>
      </c>
    </row>
    <row r="40" spans="1:6" x14ac:dyDescent="0.3">
      <c r="A40" t="s">
        <v>48</v>
      </c>
    </row>
    <row r="41" spans="1:6" x14ac:dyDescent="0.3">
      <c r="A41" t="s">
        <v>49</v>
      </c>
    </row>
    <row r="42" spans="1:6" x14ac:dyDescent="0.3">
      <c r="A42" t="s">
        <v>50</v>
      </c>
    </row>
    <row r="43" spans="1:6" x14ac:dyDescent="0.3">
      <c r="A43" t="s">
        <v>114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36"/>
  <dimension ref="A1:G43"/>
  <sheetViews>
    <sheetView topLeftCell="A16" workbookViewId="0"/>
  </sheetViews>
  <sheetFormatPr defaultRowHeight="14.4" x14ac:dyDescent="0.3"/>
  <sheetData>
    <row r="1" spans="1:7" x14ac:dyDescent="0.3">
      <c r="A1" s="24" t="s">
        <v>230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>
        <v>297</v>
      </c>
      <c r="D3" s="43">
        <v>43465</v>
      </c>
      <c r="E3">
        <v>0</v>
      </c>
      <c r="G3">
        <f>SUM(C3:F3)</f>
        <v>43762</v>
      </c>
    </row>
    <row r="4" spans="1:7" x14ac:dyDescent="0.3">
      <c r="A4" t="s">
        <v>36</v>
      </c>
      <c r="C4">
        <v>0</v>
      </c>
      <c r="D4">
        <v>0</v>
      </c>
      <c r="E4">
        <v>0</v>
      </c>
      <c r="G4">
        <f>SUM(C4:F4)</f>
        <v>0</v>
      </c>
    </row>
    <row r="5" spans="1:7" x14ac:dyDescent="0.3">
      <c r="A5" t="s">
        <v>141</v>
      </c>
      <c r="C5">
        <v>0</v>
      </c>
      <c r="D5">
        <v>10</v>
      </c>
      <c r="E5">
        <v>0</v>
      </c>
      <c r="G5">
        <f>SUM(C5:F5)</f>
        <v>10</v>
      </c>
    </row>
    <row r="6" spans="1:7" x14ac:dyDescent="0.3">
      <c r="A6" t="s">
        <v>37</v>
      </c>
      <c r="C6">
        <v>4036</v>
      </c>
      <c r="D6" s="43">
        <v>35129</v>
      </c>
      <c r="E6">
        <v>0</v>
      </c>
      <c r="G6">
        <f>SUM(C6:F6)</f>
        <v>39165</v>
      </c>
    </row>
    <row r="7" spans="1:7" ht="15.6" x14ac:dyDescent="0.3">
      <c r="A7" s="25" t="s">
        <v>63</v>
      </c>
      <c r="B7" s="25"/>
      <c r="C7" s="25">
        <f>SUM(C3:C6)</f>
        <v>4333</v>
      </c>
      <c r="D7" s="61">
        <f>SUM(D3:D6)</f>
        <v>78604</v>
      </c>
      <c r="E7" s="25">
        <f>SUM(E3:E6)</f>
        <v>0</v>
      </c>
      <c r="F7" s="25"/>
      <c r="G7" s="25">
        <f>SUM(G3:G6)</f>
        <v>82937</v>
      </c>
    </row>
    <row r="8" spans="1:7" ht="15.6" x14ac:dyDescent="0.3">
      <c r="A8" s="25"/>
      <c r="B8" s="25"/>
      <c r="C8" s="25"/>
      <c r="D8" s="61"/>
      <c r="E8" s="25"/>
      <c r="F8" s="25"/>
      <c r="G8" s="25"/>
    </row>
    <row r="9" spans="1:7" x14ac:dyDescent="0.3">
      <c r="A9" s="24" t="s">
        <v>231</v>
      </c>
      <c r="B9" s="24"/>
      <c r="C9" s="24"/>
      <c r="D9" s="24"/>
      <c r="E9" s="24"/>
      <c r="F9" s="24"/>
      <c r="G9" s="24"/>
    </row>
    <row r="10" spans="1:7" x14ac:dyDescent="0.3">
      <c r="C10" t="s">
        <v>57</v>
      </c>
      <c r="D10" t="s">
        <v>33</v>
      </c>
      <c r="G10" t="s">
        <v>56</v>
      </c>
    </row>
    <row r="11" spans="1:7" x14ac:dyDescent="0.3">
      <c r="A11" t="s">
        <v>35</v>
      </c>
      <c r="C11">
        <v>0</v>
      </c>
      <c r="D11" s="69">
        <v>23</v>
      </c>
      <c r="G11">
        <f>SUM(C11:E11)</f>
        <v>23</v>
      </c>
    </row>
    <row r="12" spans="1:7" x14ac:dyDescent="0.3">
      <c r="A12" t="s">
        <v>53</v>
      </c>
      <c r="C12">
        <v>0</v>
      </c>
      <c r="D12" s="43">
        <v>0</v>
      </c>
      <c r="G12">
        <f>SUM(C12:E12)</f>
        <v>0</v>
      </c>
    </row>
    <row r="13" spans="1:7" x14ac:dyDescent="0.3">
      <c r="A13" t="s">
        <v>140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54</v>
      </c>
      <c r="C14">
        <v>0</v>
      </c>
      <c r="D14" s="43">
        <v>1802</v>
      </c>
      <c r="G14">
        <f>SUM(C14:E14)</f>
        <v>1802</v>
      </c>
    </row>
    <row r="15" spans="1:7" ht="15.6" x14ac:dyDescent="0.3">
      <c r="A15" s="25" t="s">
        <v>55</v>
      </c>
      <c r="B15" s="25"/>
      <c r="C15" s="25">
        <f>SUM(C11:C14)</f>
        <v>0</v>
      </c>
      <c r="D15" s="25">
        <f>SUM(D11:D14)</f>
        <v>1825</v>
      </c>
      <c r="E15" s="25"/>
      <c r="F15" s="25"/>
      <c r="G15" s="25">
        <f>SUM(G11:G14)</f>
        <v>1825</v>
      </c>
    </row>
    <row r="17" spans="1:7" x14ac:dyDescent="0.3">
      <c r="A17" s="29" t="s">
        <v>232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113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0</v>
      </c>
      <c r="C19" s="43">
        <v>59</v>
      </c>
      <c r="D19" s="43">
        <v>0</v>
      </c>
      <c r="E19" s="43">
        <v>34</v>
      </c>
      <c r="F19" s="43">
        <v>0</v>
      </c>
      <c r="G19">
        <f>SUM(B19:F19)</f>
        <v>93</v>
      </c>
    </row>
    <row r="20" spans="1:7" x14ac:dyDescent="0.3">
      <c r="A20" t="s">
        <v>36</v>
      </c>
      <c r="B20">
        <v>0</v>
      </c>
      <c r="C20" s="43">
        <v>0</v>
      </c>
      <c r="D20" s="43">
        <v>0</v>
      </c>
      <c r="E20" s="43">
        <v>0</v>
      </c>
      <c r="F20" s="43">
        <v>0</v>
      </c>
      <c r="G20">
        <f>SUM(B20:F20)</f>
        <v>0</v>
      </c>
    </row>
    <row r="21" spans="1:7" x14ac:dyDescent="0.3">
      <c r="A21" t="s">
        <v>37</v>
      </c>
      <c r="B21">
        <v>0</v>
      </c>
      <c r="C21" s="43">
        <v>1286</v>
      </c>
      <c r="D21" s="43">
        <v>1</v>
      </c>
      <c r="E21" s="43">
        <v>48</v>
      </c>
      <c r="F21" s="43">
        <v>10</v>
      </c>
      <c r="G21">
        <f>SUM(B21:F21)</f>
        <v>1345</v>
      </c>
    </row>
    <row r="22" spans="1:7" ht="15.6" x14ac:dyDescent="0.3">
      <c r="A22" t="s">
        <v>34</v>
      </c>
      <c r="C22" s="25">
        <f>SUM(C19:C21)</f>
        <v>1345</v>
      </c>
      <c r="D22" s="25">
        <f>SUM(D19:D21)</f>
        <v>1</v>
      </c>
      <c r="E22" s="25">
        <f>SUM(E19:E21)</f>
        <v>82</v>
      </c>
      <c r="F22" s="25">
        <v>3</v>
      </c>
      <c r="G22" s="25">
        <f>SUM(G19:G21)</f>
        <v>1438</v>
      </c>
    </row>
    <row r="24" spans="1:7" x14ac:dyDescent="0.3">
      <c r="A24" s="24" t="s">
        <v>233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267</v>
      </c>
      <c r="D26" s="43">
        <v>43425</v>
      </c>
      <c r="E26">
        <v>0</v>
      </c>
      <c r="G26">
        <f>SUM(C26:F26)</f>
        <v>43692</v>
      </c>
    </row>
    <row r="27" spans="1:7" x14ac:dyDescent="0.3">
      <c r="A27" t="s">
        <v>36</v>
      </c>
      <c r="C27">
        <v>0</v>
      </c>
      <c r="D27">
        <v>0</v>
      </c>
      <c r="E27">
        <v>0</v>
      </c>
      <c r="G27">
        <f>SUM(C27:F27)</f>
        <v>0</v>
      </c>
    </row>
    <row r="28" spans="1:7" x14ac:dyDescent="0.3">
      <c r="A28" t="s">
        <v>141</v>
      </c>
      <c r="C28">
        <v>0</v>
      </c>
      <c r="D28">
        <v>8</v>
      </c>
      <c r="E28">
        <v>0</v>
      </c>
      <c r="G28">
        <f>SUM(C28:F28)</f>
        <v>8</v>
      </c>
    </row>
    <row r="29" spans="1:7" x14ac:dyDescent="0.3">
      <c r="A29" t="s">
        <v>37</v>
      </c>
      <c r="C29">
        <v>4324</v>
      </c>
      <c r="D29" s="43">
        <v>35300</v>
      </c>
      <c r="E29">
        <v>0</v>
      </c>
      <c r="G29">
        <f>SUM(C29:F29)</f>
        <v>39624</v>
      </c>
    </row>
    <row r="30" spans="1:7" ht="15.6" x14ac:dyDescent="0.3">
      <c r="A30" s="25" t="s">
        <v>63</v>
      </c>
      <c r="B30" s="25"/>
      <c r="C30" s="25">
        <f>SUM(C26:C29)</f>
        <v>4591</v>
      </c>
      <c r="D30" s="61">
        <f>SUM(D26:D29)</f>
        <v>78733</v>
      </c>
      <c r="E30" s="25">
        <f>SUM(E26:E29)</f>
        <v>0</v>
      </c>
      <c r="F30" s="25"/>
      <c r="G30" s="25">
        <f>SUM(G26:G29)</f>
        <v>83324</v>
      </c>
    </row>
    <row r="32" spans="1:7" ht="15.6" x14ac:dyDescent="0.3">
      <c r="A32" s="26" t="s">
        <v>239</v>
      </c>
      <c r="B32" s="26"/>
      <c r="C32" s="24"/>
      <c r="D32" s="24"/>
      <c r="E32" s="24"/>
      <c r="F32" s="24"/>
    </row>
    <row r="33" spans="1:6" x14ac:dyDescent="0.3">
      <c r="A33" t="s">
        <v>35</v>
      </c>
      <c r="F33">
        <f>G26-G3</f>
        <v>-70</v>
      </c>
    </row>
    <row r="34" spans="1:6" x14ac:dyDescent="0.3">
      <c r="A34" t="s">
        <v>36</v>
      </c>
      <c r="F34">
        <f>G27-G4</f>
        <v>0</v>
      </c>
    </row>
    <row r="35" spans="1:6" x14ac:dyDescent="0.3">
      <c r="A35" t="s">
        <v>37</v>
      </c>
      <c r="F35">
        <f>G29-G6</f>
        <v>459</v>
      </c>
    </row>
    <row r="36" spans="1:6" ht="15.6" x14ac:dyDescent="0.3">
      <c r="A36" s="25" t="s">
        <v>34</v>
      </c>
      <c r="B36" s="25"/>
      <c r="C36" s="25"/>
      <c r="D36" s="25"/>
      <c r="E36" s="25"/>
      <c r="F36" s="25">
        <f>SUM(F33:F35)</f>
        <v>389</v>
      </c>
    </row>
    <row r="38" spans="1:6" x14ac:dyDescent="0.3">
      <c r="A38" t="s">
        <v>46</v>
      </c>
    </row>
    <row r="39" spans="1:6" x14ac:dyDescent="0.3">
      <c r="A39" t="s">
        <v>47</v>
      </c>
    </row>
    <row r="40" spans="1:6" x14ac:dyDescent="0.3">
      <c r="A40" t="s">
        <v>48</v>
      </c>
    </row>
    <row r="41" spans="1:6" x14ac:dyDescent="0.3">
      <c r="A41" t="s">
        <v>49</v>
      </c>
    </row>
    <row r="42" spans="1:6" x14ac:dyDescent="0.3">
      <c r="A42" t="s">
        <v>50</v>
      </c>
    </row>
    <row r="43" spans="1:6" x14ac:dyDescent="0.3">
      <c r="A43" t="s">
        <v>114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ilha37"/>
  <dimension ref="A1:G43"/>
  <sheetViews>
    <sheetView workbookViewId="0"/>
  </sheetViews>
  <sheetFormatPr defaultRowHeight="14.4" x14ac:dyDescent="0.3"/>
  <sheetData>
    <row r="1" spans="1:7" x14ac:dyDescent="0.3">
      <c r="A1" s="24" t="s">
        <v>234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>
        <v>267</v>
      </c>
      <c r="D3" s="43">
        <v>43425</v>
      </c>
      <c r="E3">
        <v>0</v>
      </c>
      <c r="G3">
        <f>SUM(C3:F3)</f>
        <v>43692</v>
      </c>
    </row>
    <row r="4" spans="1:7" x14ac:dyDescent="0.3">
      <c r="A4" t="s">
        <v>36</v>
      </c>
      <c r="C4">
        <v>0</v>
      </c>
      <c r="D4">
        <v>0</v>
      </c>
      <c r="E4">
        <v>0</v>
      </c>
      <c r="G4">
        <f>SUM(C4:F4)</f>
        <v>0</v>
      </c>
    </row>
    <row r="5" spans="1:7" x14ac:dyDescent="0.3">
      <c r="A5" t="s">
        <v>141</v>
      </c>
      <c r="C5">
        <v>0</v>
      </c>
      <c r="D5">
        <v>8</v>
      </c>
      <c r="E5">
        <v>0</v>
      </c>
      <c r="G5">
        <f>SUM(C5:F5)</f>
        <v>8</v>
      </c>
    </row>
    <row r="6" spans="1:7" x14ac:dyDescent="0.3">
      <c r="A6" t="s">
        <v>37</v>
      </c>
      <c r="C6">
        <v>4324</v>
      </c>
      <c r="D6" s="43">
        <v>35300</v>
      </c>
      <c r="E6">
        <v>0</v>
      </c>
      <c r="G6">
        <f>SUM(C6:F6)</f>
        <v>39624</v>
      </c>
    </row>
    <row r="7" spans="1:7" ht="15.6" x14ac:dyDescent="0.3">
      <c r="A7" s="25" t="s">
        <v>63</v>
      </c>
      <c r="B7" s="25"/>
      <c r="C7" s="25">
        <f>SUM(C3:C6)</f>
        <v>4591</v>
      </c>
      <c r="D7" s="61">
        <f>SUM(D3:D6)</f>
        <v>78733</v>
      </c>
      <c r="E7" s="25">
        <f>SUM(E3:E6)</f>
        <v>0</v>
      </c>
      <c r="F7" s="25"/>
      <c r="G7" s="25">
        <f>SUM(G3:G6)</f>
        <v>83324</v>
      </c>
    </row>
    <row r="8" spans="1:7" ht="15.6" x14ac:dyDescent="0.3">
      <c r="A8" s="25"/>
      <c r="B8" s="25"/>
      <c r="C8" s="25"/>
      <c r="D8" s="61"/>
      <c r="E8" s="25"/>
      <c r="F8" s="25"/>
      <c r="G8" s="25"/>
    </row>
    <row r="9" spans="1:7" x14ac:dyDescent="0.3">
      <c r="A9" s="24" t="s">
        <v>235</v>
      </c>
      <c r="B9" s="24"/>
      <c r="C9" s="24"/>
      <c r="D9" s="24"/>
      <c r="E9" s="24"/>
      <c r="F9" s="24"/>
      <c r="G9" s="24"/>
    </row>
    <row r="10" spans="1:7" x14ac:dyDescent="0.3">
      <c r="C10" t="s">
        <v>57</v>
      </c>
      <c r="D10" t="s">
        <v>33</v>
      </c>
      <c r="G10" t="s">
        <v>56</v>
      </c>
    </row>
    <row r="11" spans="1:7" x14ac:dyDescent="0.3">
      <c r="A11" t="s">
        <v>35</v>
      </c>
      <c r="C11">
        <v>0</v>
      </c>
      <c r="D11" s="69">
        <v>27</v>
      </c>
      <c r="G11">
        <f>SUM(C11:E11)</f>
        <v>27</v>
      </c>
    </row>
    <row r="12" spans="1:7" x14ac:dyDescent="0.3">
      <c r="A12" t="s">
        <v>53</v>
      </c>
      <c r="C12">
        <v>0</v>
      </c>
      <c r="D12" s="43">
        <v>0</v>
      </c>
      <c r="G12">
        <f>SUM(C12:E12)</f>
        <v>0</v>
      </c>
    </row>
    <row r="13" spans="1:7" x14ac:dyDescent="0.3">
      <c r="A13" t="s">
        <v>140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54</v>
      </c>
      <c r="C14">
        <v>0</v>
      </c>
      <c r="D14" s="43">
        <v>2227</v>
      </c>
      <c r="G14">
        <f>SUM(C14:E14)</f>
        <v>2227</v>
      </c>
    </row>
    <row r="15" spans="1:7" ht="15.6" x14ac:dyDescent="0.3">
      <c r="A15" s="25" t="s">
        <v>55</v>
      </c>
      <c r="B15" s="25"/>
      <c r="C15" s="25">
        <f>SUM(C11:C14)</f>
        <v>0</v>
      </c>
      <c r="D15" s="25">
        <f>SUM(D11:D14)</f>
        <v>2254</v>
      </c>
      <c r="E15" s="25"/>
      <c r="F15" s="25"/>
      <c r="G15" s="25">
        <f>SUM(G11:G14)</f>
        <v>2254</v>
      </c>
    </row>
    <row r="17" spans="1:7" x14ac:dyDescent="0.3">
      <c r="A17" s="29" t="s">
        <v>236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113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0</v>
      </c>
      <c r="C19" s="43">
        <v>55</v>
      </c>
      <c r="D19" s="43">
        <v>82</v>
      </c>
      <c r="E19" s="43">
        <v>109</v>
      </c>
      <c r="F19" s="43">
        <v>0</v>
      </c>
      <c r="G19">
        <f>SUM(B19:F19)</f>
        <v>246</v>
      </c>
    </row>
    <row r="20" spans="1:7" x14ac:dyDescent="0.3">
      <c r="A20" t="s">
        <v>36</v>
      </c>
      <c r="B20">
        <v>0</v>
      </c>
      <c r="C20" s="43">
        <v>0</v>
      </c>
      <c r="D20" s="43">
        <v>0</v>
      </c>
      <c r="E20" s="43">
        <v>0</v>
      </c>
      <c r="F20" s="43">
        <v>0</v>
      </c>
      <c r="G20">
        <f>SUM(B20:F20)</f>
        <v>0</v>
      </c>
    </row>
    <row r="21" spans="1:7" x14ac:dyDescent="0.3">
      <c r="A21" t="s">
        <v>37</v>
      </c>
      <c r="B21">
        <v>0</v>
      </c>
      <c r="C21" s="43">
        <v>1150</v>
      </c>
      <c r="D21" s="43">
        <v>82</v>
      </c>
      <c r="E21" s="43">
        <v>123</v>
      </c>
      <c r="F21" s="43">
        <v>6</v>
      </c>
      <c r="G21">
        <f>SUM(B21:F21)</f>
        <v>1361</v>
      </c>
    </row>
    <row r="22" spans="1:7" ht="15.6" x14ac:dyDescent="0.3">
      <c r="A22" t="s">
        <v>34</v>
      </c>
      <c r="C22" s="25">
        <f>SUM(C19:C21)</f>
        <v>1205</v>
      </c>
      <c r="D22" s="25">
        <f>SUM(D19:D21)</f>
        <v>164</v>
      </c>
      <c r="E22" s="25">
        <f>SUM(E19:E21)</f>
        <v>232</v>
      </c>
      <c r="F22" s="25">
        <v>3</v>
      </c>
      <c r="G22" s="25">
        <f>SUM(G19:G21)</f>
        <v>1607</v>
      </c>
    </row>
    <row r="24" spans="1:7" x14ac:dyDescent="0.3">
      <c r="A24" s="24" t="s">
        <v>237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244</v>
      </c>
      <c r="D26" s="43">
        <v>43209</v>
      </c>
      <c r="E26">
        <v>0</v>
      </c>
      <c r="G26">
        <f>SUM(C26:F26)</f>
        <v>43453</v>
      </c>
    </row>
    <row r="27" spans="1:7" x14ac:dyDescent="0.3">
      <c r="A27" t="s">
        <v>36</v>
      </c>
      <c r="C27">
        <v>0</v>
      </c>
      <c r="D27">
        <v>0</v>
      </c>
      <c r="E27">
        <v>0</v>
      </c>
      <c r="G27">
        <f>SUM(C27:F27)</f>
        <v>0</v>
      </c>
    </row>
    <row r="28" spans="1:7" x14ac:dyDescent="0.3">
      <c r="A28" t="s">
        <v>141</v>
      </c>
      <c r="C28">
        <v>0</v>
      </c>
      <c r="D28">
        <v>8</v>
      </c>
      <c r="E28">
        <v>0</v>
      </c>
      <c r="G28">
        <f>SUM(C28:F28)</f>
        <v>8</v>
      </c>
    </row>
    <row r="29" spans="1:7" x14ac:dyDescent="0.3">
      <c r="A29" t="s">
        <v>37</v>
      </c>
      <c r="C29">
        <v>3384</v>
      </c>
      <c r="D29" s="43">
        <v>37126</v>
      </c>
      <c r="E29">
        <v>0</v>
      </c>
      <c r="G29">
        <f>SUM(C29:F29)</f>
        <v>40510</v>
      </c>
    </row>
    <row r="30" spans="1:7" ht="15.6" x14ac:dyDescent="0.3">
      <c r="A30" s="25" t="s">
        <v>63</v>
      </c>
      <c r="B30" s="25"/>
      <c r="C30" s="25">
        <f>SUM(C26:C29)</f>
        <v>3628</v>
      </c>
      <c r="D30" s="61">
        <f>SUM(D26:D29)</f>
        <v>80343</v>
      </c>
      <c r="E30" s="25">
        <f>SUM(E26:E29)</f>
        <v>0</v>
      </c>
      <c r="F30" s="25"/>
      <c r="G30" s="25">
        <f>SUM(G26:G29)</f>
        <v>83971</v>
      </c>
    </row>
    <row r="32" spans="1:7" ht="15.6" x14ac:dyDescent="0.3">
      <c r="A32" s="26" t="s">
        <v>238</v>
      </c>
      <c r="B32" s="26"/>
      <c r="C32" s="24"/>
      <c r="D32" s="24"/>
      <c r="E32" s="24"/>
      <c r="F32" s="24"/>
    </row>
    <row r="33" spans="1:6" x14ac:dyDescent="0.3">
      <c r="A33" t="s">
        <v>35</v>
      </c>
      <c r="F33">
        <f>G26-G3</f>
        <v>-239</v>
      </c>
    </row>
    <row r="34" spans="1:6" x14ac:dyDescent="0.3">
      <c r="A34" t="s">
        <v>36</v>
      </c>
      <c r="F34">
        <f>G27-G4</f>
        <v>0</v>
      </c>
    </row>
    <row r="35" spans="1:6" x14ac:dyDescent="0.3">
      <c r="A35" t="s">
        <v>37</v>
      </c>
      <c r="F35">
        <f>G29-G6</f>
        <v>886</v>
      </c>
    </row>
    <row r="36" spans="1:6" ht="15.6" x14ac:dyDescent="0.3">
      <c r="A36" s="25" t="s">
        <v>34</v>
      </c>
      <c r="B36" s="25"/>
      <c r="C36" s="25"/>
      <c r="D36" s="25"/>
      <c r="E36" s="25"/>
      <c r="F36" s="25">
        <f>SUM(F33:F35)</f>
        <v>647</v>
      </c>
    </row>
    <row r="38" spans="1:6" x14ac:dyDescent="0.3">
      <c r="A38" t="s">
        <v>46</v>
      </c>
    </row>
    <row r="39" spans="1:6" x14ac:dyDescent="0.3">
      <c r="A39" t="s">
        <v>47</v>
      </c>
    </row>
    <row r="40" spans="1:6" x14ac:dyDescent="0.3">
      <c r="A40" t="s">
        <v>48</v>
      </c>
    </row>
    <row r="41" spans="1:6" x14ac:dyDescent="0.3">
      <c r="A41" t="s">
        <v>49</v>
      </c>
    </row>
    <row r="42" spans="1:6" x14ac:dyDescent="0.3">
      <c r="A42" t="s">
        <v>50</v>
      </c>
    </row>
    <row r="43" spans="1:6" x14ac:dyDescent="0.3">
      <c r="A43" t="s">
        <v>114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38"/>
  <dimension ref="A1:G43"/>
  <sheetViews>
    <sheetView workbookViewId="0"/>
  </sheetViews>
  <sheetFormatPr defaultRowHeight="14.4" x14ac:dyDescent="0.3"/>
  <sheetData>
    <row r="1" spans="1:7" x14ac:dyDescent="0.3">
      <c r="A1" s="24" t="s">
        <v>243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>
        <v>244</v>
      </c>
      <c r="D3" s="43">
        <v>43209</v>
      </c>
      <c r="E3">
        <v>0</v>
      </c>
      <c r="G3">
        <f>SUM(C3:F3)</f>
        <v>43453</v>
      </c>
    </row>
    <row r="4" spans="1:7" x14ac:dyDescent="0.3">
      <c r="A4" t="s">
        <v>36</v>
      </c>
      <c r="C4">
        <v>0</v>
      </c>
      <c r="D4">
        <v>0</v>
      </c>
      <c r="E4">
        <v>0</v>
      </c>
      <c r="G4">
        <f>SUM(C4:F4)</f>
        <v>0</v>
      </c>
    </row>
    <row r="5" spans="1:7" x14ac:dyDescent="0.3">
      <c r="A5" t="s">
        <v>141</v>
      </c>
      <c r="C5">
        <v>0</v>
      </c>
      <c r="D5">
        <v>8</v>
      </c>
      <c r="E5">
        <v>0</v>
      </c>
      <c r="G5">
        <f>SUM(C5:F5)</f>
        <v>8</v>
      </c>
    </row>
    <row r="6" spans="1:7" x14ac:dyDescent="0.3">
      <c r="A6" t="s">
        <v>37</v>
      </c>
      <c r="C6">
        <v>3384</v>
      </c>
      <c r="D6" s="43">
        <v>37126</v>
      </c>
      <c r="E6">
        <v>0</v>
      </c>
      <c r="G6">
        <f>SUM(C6:F6)</f>
        <v>40510</v>
      </c>
    </row>
    <row r="7" spans="1:7" ht="15.6" x14ac:dyDescent="0.3">
      <c r="A7" s="25" t="s">
        <v>63</v>
      </c>
      <c r="B7" s="25"/>
      <c r="C7" s="25">
        <f>SUM(C3:C6)</f>
        <v>3628</v>
      </c>
      <c r="D7" s="61">
        <f>SUM(D3:D6)</f>
        <v>80343</v>
      </c>
      <c r="E7" s="25">
        <f>SUM(E3:E6)</f>
        <v>0</v>
      </c>
      <c r="F7" s="25"/>
      <c r="G7" s="25">
        <f>SUM(G3:G6)</f>
        <v>83971</v>
      </c>
    </row>
    <row r="8" spans="1:7" ht="15.6" x14ac:dyDescent="0.3">
      <c r="A8" s="25"/>
      <c r="B8" s="25"/>
      <c r="C8" s="25"/>
      <c r="D8" s="61"/>
      <c r="E8" s="25"/>
      <c r="F8" s="25"/>
      <c r="G8" s="25"/>
    </row>
    <row r="9" spans="1:7" x14ac:dyDescent="0.3">
      <c r="A9" s="24" t="s">
        <v>258</v>
      </c>
      <c r="B9" s="24"/>
      <c r="C9" s="24"/>
      <c r="D9" s="24"/>
      <c r="E9" s="24"/>
      <c r="F9" s="24"/>
      <c r="G9" s="24"/>
    </row>
    <row r="10" spans="1:7" x14ac:dyDescent="0.3">
      <c r="C10" t="s">
        <v>57</v>
      </c>
      <c r="D10" t="s">
        <v>33</v>
      </c>
      <c r="G10" t="s">
        <v>56</v>
      </c>
    </row>
    <row r="11" spans="1:7" x14ac:dyDescent="0.3">
      <c r="A11" t="s">
        <v>35</v>
      </c>
      <c r="C11">
        <v>0</v>
      </c>
      <c r="D11" s="69">
        <v>18</v>
      </c>
      <c r="G11">
        <f>SUM(C11:E11)</f>
        <v>18</v>
      </c>
    </row>
    <row r="12" spans="1:7" x14ac:dyDescent="0.3">
      <c r="A12" t="s">
        <v>53</v>
      </c>
      <c r="C12">
        <v>0</v>
      </c>
      <c r="D12" s="43">
        <v>0</v>
      </c>
      <c r="G12">
        <f>SUM(C12:E12)</f>
        <v>0</v>
      </c>
    </row>
    <row r="13" spans="1:7" x14ac:dyDescent="0.3">
      <c r="A13" t="s">
        <v>140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54</v>
      </c>
      <c r="C14">
        <v>0</v>
      </c>
      <c r="D14" s="43">
        <v>1712</v>
      </c>
      <c r="G14">
        <f>SUM(C14:E14)</f>
        <v>1712</v>
      </c>
    </row>
    <row r="15" spans="1:7" ht="15.6" x14ac:dyDescent="0.3">
      <c r="A15" s="25" t="s">
        <v>55</v>
      </c>
      <c r="B15" s="25"/>
      <c r="C15" s="25">
        <f>SUM(C11:C14)</f>
        <v>0</v>
      </c>
      <c r="D15" s="25">
        <f>SUM(D11:D14)</f>
        <v>1730</v>
      </c>
      <c r="E15" s="25"/>
      <c r="F15" s="25"/>
      <c r="G15" s="25">
        <f>SUM(G11:G14)</f>
        <v>1730</v>
      </c>
    </row>
    <row r="17" spans="1:7" x14ac:dyDescent="0.3">
      <c r="A17" s="29" t="s">
        <v>259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113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0</v>
      </c>
      <c r="C19" s="43">
        <v>46</v>
      </c>
      <c r="D19" s="43"/>
      <c r="E19" s="43">
        <v>77</v>
      </c>
      <c r="F19" s="43">
        <v>0</v>
      </c>
      <c r="G19">
        <f>SUM(B19:F19)</f>
        <v>123</v>
      </c>
    </row>
    <row r="20" spans="1:7" x14ac:dyDescent="0.3">
      <c r="A20" t="s">
        <v>36</v>
      </c>
      <c r="B20">
        <v>0</v>
      </c>
      <c r="C20" s="43">
        <v>0</v>
      </c>
      <c r="D20" s="43">
        <v>0</v>
      </c>
      <c r="E20" s="43">
        <v>0</v>
      </c>
      <c r="F20" s="43">
        <v>0</v>
      </c>
      <c r="G20">
        <f>SUM(B20:F20)</f>
        <v>0</v>
      </c>
    </row>
    <row r="21" spans="1:7" x14ac:dyDescent="0.3">
      <c r="A21" t="s">
        <v>37</v>
      </c>
      <c r="B21">
        <v>0</v>
      </c>
      <c r="C21" s="43">
        <v>1049</v>
      </c>
      <c r="D21" s="43">
        <v>3</v>
      </c>
      <c r="E21" s="43">
        <v>84</v>
      </c>
      <c r="F21" s="43">
        <v>10</v>
      </c>
      <c r="G21">
        <f>SUM(B21:F21)</f>
        <v>1146</v>
      </c>
    </row>
    <row r="22" spans="1:7" ht="15.6" x14ac:dyDescent="0.3">
      <c r="A22" t="s">
        <v>34</v>
      </c>
      <c r="C22" s="25">
        <f>SUM(C19:C21)</f>
        <v>1095</v>
      </c>
      <c r="D22" s="25">
        <f>SUM(D19:D21)</f>
        <v>3</v>
      </c>
      <c r="E22" s="25">
        <f>SUM(E19:E21)</f>
        <v>161</v>
      </c>
      <c r="F22" s="25">
        <v>3</v>
      </c>
      <c r="G22" s="25">
        <f>SUM(G19:G21)</f>
        <v>1269</v>
      </c>
    </row>
    <row r="24" spans="1:7" x14ac:dyDescent="0.3">
      <c r="A24" s="24" t="s">
        <v>244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314</v>
      </c>
      <c r="D26" s="43">
        <v>43054</v>
      </c>
      <c r="E26">
        <v>0</v>
      </c>
      <c r="G26">
        <f>SUM(C26:F26)</f>
        <v>43368</v>
      </c>
    </row>
    <row r="27" spans="1:7" x14ac:dyDescent="0.3">
      <c r="A27" t="s">
        <v>36</v>
      </c>
      <c r="C27">
        <v>0</v>
      </c>
      <c r="D27">
        <v>0</v>
      </c>
      <c r="E27">
        <v>0</v>
      </c>
      <c r="G27">
        <f>SUM(C27:F27)</f>
        <v>0</v>
      </c>
    </row>
    <row r="28" spans="1:7" x14ac:dyDescent="0.3">
      <c r="A28" t="s">
        <v>141</v>
      </c>
      <c r="C28">
        <v>0</v>
      </c>
      <c r="D28">
        <v>8</v>
      </c>
      <c r="E28">
        <v>0</v>
      </c>
      <c r="G28">
        <f>SUM(C28:F28)</f>
        <v>8</v>
      </c>
    </row>
    <row r="29" spans="1:7" x14ac:dyDescent="0.3">
      <c r="A29" t="s">
        <v>37</v>
      </c>
      <c r="C29">
        <v>3705</v>
      </c>
      <c r="D29" s="43">
        <v>37351</v>
      </c>
      <c r="E29">
        <v>0</v>
      </c>
      <c r="G29">
        <f>SUM(C29:F29)</f>
        <v>41056</v>
      </c>
    </row>
    <row r="30" spans="1:7" ht="15.6" x14ac:dyDescent="0.3">
      <c r="A30" s="25" t="s">
        <v>63</v>
      </c>
      <c r="B30" s="25"/>
      <c r="C30" s="25">
        <f>SUM(C26:C29)</f>
        <v>4019</v>
      </c>
      <c r="D30" s="61">
        <f>SUM(D26:D29)</f>
        <v>80413</v>
      </c>
      <c r="E30" s="25">
        <f>SUM(E26:E29)</f>
        <v>0</v>
      </c>
      <c r="F30" s="25"/>
      <c r="G30" s="25">
        <f>SUM(G26:G29)</f>
        <v>84432</v>
      </c>
    </row>
    <row r="32" spans="1:7" ht="15.6" x14ac:dyDescent="0.3">
      <c r="A32" s="26" t="s">
        <v>247</v>
      </c>
      <c r="B32" s="26"/>
      <c r="C32" s="24"/>
      <c r="D32" s="24"/>
      <c r="E32" s="24"/>
      <c r="F32" s="24"/>
    </row>
    <row r="33" spans="1:6" x14ac:dyDescent="0.3">
      <c r="A33" t="s">
        <v>35</v>
      </c>
      <c r="F33">
        <f>G26-G3</f>
        <v>-85</v>
      </c>
    </row>
    <row r="34" spans="1:6" x14ac:dyDescent="0.3">
      <c r="A34" t="s">
        <v>36</v>
      </c>
      <c r="F34">
        <f>G27-G4</f>
        <v>0</v>
      </c>
    </row>
    <row r="35" spans="1:6" x14ac:dyDescent="0.3">
      <c r="A35" t="s">
        <v>37</v>
      </c>
      <c r="F35">
        <f>G29-G6</f>
        <v>546</v>
      </c>
    </row>
    <row r="36" spans="1:6" ht="15.6" x14ac:dyDescent="0.3">
      <c r="A36" s="25" t="s">
        <v>34</v>
      </c>
      <c r="B36" s="25"/>
      <c r="C36" s="25"/>
      <c r="D36" s="25"/>
      <c r="E36" s="25"/>
      <c r="F36" s="25">
        <f>SUM(F33:F35)</f>
        <v>461</v>
      </c>
    </row>
    <row r="38" spans="1:6" x14ac:dyDescent="0.3">
      <c r="A38" t="s">
        <v>46</v>
      </c>
    </row>
    <row r="39" spans="1:6" x14ac:dyDescent="0.3">
      <c r="A39" t="s">
        <v>47</v>
      </c>
    </row>
    <row r="40" spans="1:6" x14ac:dyDescent="0.3">
      <c r="A40" t="s">
        <v>48</v>
      </c>
    </row>
    <row r="41" spans="1:6" x14ac:dyDescent="0.3">
      <c r="A41" t="s">
        <v>49</v>
      </c>
    </row>
    <row r="42" spans="1:6" x14ac:dyDescent="0.3">
      <c r="A42" t="s">
        <v>50</v>
      </c>
    </row>
    <row r="43" spans="1:6" x14ac:dyDescent="0.3">
      <c r="A43" t="s">
        <v>114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39"/>
  <dimension ref="A1:G43"/>
  <sheetViews>
    <sheetView topLeftCell="A22" workbookViewId="0"/>
  </sheetViews>
  <sheetFormatPr defaultRowHeight="14.4" x14ac:dyDescent="0.3"/>
  <sheetData>
    <row r="1" spans="1:7" x14ac:dyDescent="0.3">
      <c r="A1" s="24" t="s">
        <v>244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>
        <v>314</v>
      </c>
      <c r="D3" s="43">
        <v>43054</v>
      </c>
      <c r="E3">
        <v>0</v>
      </c>
      <c r="G3">
        <f>SUM(C3:F3)</f>
        <v>43368</v>
      </c>
    </row>
    <row r="4" spans="1:7" x14ac:dyDescent="0.3">
      <c r="A4" t="s">
        <v>36</v>
      </c>
      <c r="C4">
        <v>0</v>
      </c>
      <c r="D4">
        <v>0</v>
      </c>
      <c r="E4">
        <v>0</v>
      </c>
      <c r="G4">
        <f>SUM(C4:F4)</f>
        <v>0</v>
      </c>
    </row>
    <row r="5" spans="1:7" x14ac:dyDescent="0.3">
      <c r="A5" t="s">
        <v>141</v>
      </c>
      <c r="C5">
        <v>0</v>
      </c>
      <c r="D5">
        <v>8</v>
      </c>
      <c r="E5">
        <v>0</v>
      </c>
      <c r="G5">
        <f>SUM(C5:F5)</f>
        <v>8</v>
      </c>
    </row>
    <row r="6" spans="1:7" x14ac:dyDescent="0.3">
      <c r="A6" t="s">
        <v>37</v>
      </c>
      <c r="C6">
        <v>3705</v>
      </c>
      <c r="D6" s="43">
        <v>37351</v>
      </c>
      <c r="E6">
        <v>0</v>
      </c>
      <c r="G6">
        <f>SUM(C6:F6)</f>
        <v>41056</v>
      </c>
    </row>
    <row r="7" spans="1:7" ht="15.6" x14ac:dyDescent="0.3">
      <c r="A7" s="25" t="s">
        <v>63</v>
      </c>
      <c r="B7" s="25"/>
      <c r="C7" s="25">
        <f>SUM(C3:C6)</f>
        <v>4019</v>
      </c>
      <c r="D7" s="61">
        <f>SUM(D3:D6)</f>
        <v>80413</v>
      </c>
      <c r="E7" s="25">
        <f>SUM(E3:E6)</f>
        <v>0</v>
      </c>
      <c r="F7" s="25"/>
      <c r="G7" s="25">
        <f>SUM(G3:G6)</f>
        <v>84432</v>
      </c>
    </row>
    <row r="8" spans="1:7" ht="15.6" x14ac:dyDescent="0.3">
      <c r="A8" s="25"/>
      <c r="B8" s="25"/>
      <c r="C8" s="25"/>
      <c r="D8" s="61"/>
      <c r="E8" s="25"/>
      <c r="F8" s="25"/>
      <c r="G8" s="25"/>
    </row>
    <row r="9" spans="1:7" x14ac:dyDescent="0.3">
      <c r="A9" s="24" t="s">
        <v>256</v>
      </c>
      <c r="B9" s="24"/>
      <c r="C9" s="24"/>
      <c r="D9" s="24"/>
      <c r="E9" s="24"/>
      <c r="F9" s="24"/>
      <c r="G9" s="24"/>
    </row>
    <row r="10" spans="1:7" x14ac:dyDescent="0.3">
      <c r="C10" t="s">
        <v>57</v>
      </c>
      <c r="D10" t="s">
        <v>33</v>
      </c>
      <c r="G10" t="s">
        <v>56</v>
      </c>
    </row>
    <row r="11" spans="1:7" x14ac:dyDescent="0.3">
      <c r="A11" t="s">
        <v>35</v>
      </c>
      <c r="C11">
        <v>0</v>
      </c>
      <c r="D11" s="69">
        <v>16</v>
      </c>
      <c r="G11">
        <f>SUM(C11:E11)</f>
        <v>16</v>
      </c>
    </row>
    <row r="12" spans="1:7" x14ac:dyDescent="0.3">
      <c r="A12" t="s">
        <v>53</v>
      </c>
      <c r="C12">
        <v>0</v>
      </c>
      <c r="D12" s="43">
        <v>0</v>
      </c>
      <c r="G12">
        <f>SUM(C12:E12)</f>
        <v>0</v>
      </c>
    </row>
    <row r="13" spans="1:7" x14ac:dyDescent="0.3">
      <c r="A13" t="s">
        <v>140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54</v>
      </c>
      <c r="C14">
        <v>0</v>
      </c>
      <c r="D14" s="43">
        <v>996</v>
      </c>
      <c r="G14">
        <f>SUM(C14:E14)</f>
        <v>996</v>
      </c>
    </row>
    <row r="15" spans="1:7" ht="15.6" x14ac:dyDescent="0.3">
      <c r="A15" s="25" t="s">
        <v>55</v>
      </c>
      <c r="B15" s="25"/>
      <c r="C15" s="25">
        <f>SUM(C11:C14)</f>
        <v>0</v>
      </c>
      <c r="D15" s="25">
        <f>SUM(D11:D14)</f>
        <v>1012</v>
      </c>
      <c r="E15" s="25"/>
      <c r="F15" s="25"/>
      <c r="G15" s="25">
        <f>SUM(G11:G14)</f>
        <v>1012</v>
      </c>
    </row>
    <row r="17" spans="1:7" x14ac:dyDescent="0.3">
      <c r="A17" s="29" t="s">
        <v>257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113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0</v>
      </c>
      <c r="C19" s="43">
        <v>76</v>
      </c>
      <c r="D19" s="43">
        <v>13</v>
      </c>
      <c r="E19" s="43">
        <v>0</v>
      </c>
      <c r="F19" s="43">
        <v>0</v>
      </c>
      <c r="G19">
        <f>SUM(B19:F19)</f>
        <v>89</v>
      </c>
    </row>
    <row r="20" spans="1:7" x14ac:dyDescent="0.3">
      <c r="A20" t="s">
        <v>36</v>
      </c>
      <c r="B20">
        <v>0</v>
      </c>
      <c r="C20" s="43">
        <v>0</v>
      </c>
      <c r="D20" s="43">
        <v>0</v>
      </c>
      <c r="E20" s="43">
        <v>0</v>
      </c>
      <c r="F20" s="43">
        <v>0</v>
      </c>
      <c r="G20">
        <f>SUM(B20:F20)</f>
        <v>0</v>
      </c>
    </row>
    <row r="21" spans="1:7" x14ac:dyDescent="0.3">
      <c r="A21" t="s">
        <v>37</v>
      </c>
      <c r="B21">
        <v>0</v>
      </c>
      <c r="C21" s="43">
        <v>1380</v>
      </c>
      <c r="D21" s="43">
        <v>43</v>
      </c>
      <c r="E21" s="43">
        <v>5</v>
      </c>
      <c r="F21" s="43">
        <v>11</v>
      </c>
      <c r="G21">
        <f>SUM(B21:F21)</f>
        <v>1439</v>
      </c>
    </row>
    <row r="22" spans="1:7" ht="15.6" x14ac:dyDescent="0.3">
      <c r="A22" t="s">
        <v>34</v>
      </c>
      <c r="C22" s="25">
        <f>SUM(C19:C21)</f>
        <v>1456</v>
      </c>
      <c r="D22" s="25">
        <f>SUM(D19:D21)</f>
        <v>56</v>
      </c>
      <c r="E22" s="25">
        <f>SUM(E19:E21)</f>
        <v>5</v>
      </c>
      <c r="F22" s="25">
        <v>3</v>
      </c>
      <c r="G22" s="25">
        <f>SUM(G19:G21)</f>
        <v>1528</v>
      </c>
    </row>
    <row r="24" spans="1:7" x14ac:dyDescent="0.3">
      <c r="A24" s="24" t="s">
        <v>246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244</v>
      </c>
      <c r="D26" s="43">
        <v>43051</v>
      </c>
      <c r="E26">
        <v>0</v>
      </c>
      <c r="G26">
        <f>SUM(C26:F26)</f>
        <v>43295</v>
      </c>
    </row>
    <row r="27" spans="1:7" x14ac:dyDescent="0.3">
      <c r="A27" t="s">
        <v>36</v>
      </c>
      <c r="C27">
        <v>0</v>
      </c>
      <c r="D27">
        <v>0</v>
      </c>
      <c r="E27">
        <v>0</v>
      </c>
      <c r="G27">
        <f>SUM(C27:F27)</f>
        <v>0</v>
      </c>
    </row>
    <row r="28" spans="1:7" x14ac:dyDescent="0.3">
      <c r="A28" t="s">
        <v>141</v>
      </c>
      <c r="C28">
        <v>0</v>
      </c>
      <c r="D28">
        <v>8</v>
      </c>
      <c r="E28">
        <v>0</v>
      </c>
      <c r="G28">
        <f>SUM(C28:F28)</f>
        <v>8</v>
      </c>
    </row>
    <row r="29" spans="1:7" x14ac:dyDescent="0.3">
      <c r="A29" t="s">
        <v>37</v>
      </c>
      <c r="C29">
        <v>2411</v>
      </c>
      <c r="D29" s="43">
        <v>38202</v>
      </c>
      <c r="E29">
        <v>0</v>
      </c>
      <c r="G29">
        <f>SUM(C29:F29)</f>
        <v>40613</v>
      </c>
    </row>
    <row r="30" spans="1:7" ht="15.6" x14ac:dyDescent="0.3">
      <c r="A30" s="25" t="s">
        <v>63</v>
      </c>
      <c r="B30" s="25"/>
      <c r="C30" s="25">
        <f>SUM(C26:C29)</f>
        <v>2655</v>
      </c>
      <c r="D30" s="61">
        <f>SUM(D26:D29)</f>
        <v>81261</v>
      </c>
      <c r="E30" s="25">
        <f>SUM(E26:E29)</f>
        <v>0</v>
      </c>
      <c r="F30" s="25"/>
      <c r="G30" s="25">
        <f>SUM(G26:G29)</f>
        <v>83916</v>
      </c>
    </row>
    <row r="32" spans="1:7" ht="15.6" x14ac:dyDescent="0.3">
      <c r="A32" s="26" t="s">
        <v>248</v>
      </c>
      <c r="B32" s="26"/>
      <c r="C32" s="24"/>
      <c r="D32" s="24"/>
      <c r="E32" s="24"/>
      <c r="F32" s="24"/>
    </row>
    <row r="33" spans="1:6" x14ac:dyDescent="0.3">
      <c r="A33" t="s">
        <v>35</v>
      </c>
      <c r="F33">
        <f>G26-G3</f>
        <v>-73</v>
      </c>
    </row>
    <row r="34" spans="1:6" x14ac:dyDescent="0.3">
      <c r="A34" t="s">
        <v>36</v>
      </c>
      <c r="F34">
        <f>G27-G4</f>
        <v>0</v>
      </c>
    </row>
    <row r="35" spans="1:6" x14ac:dyDescent="0.3">
      <c r="A35" t="s">
        <v>37</v>
      </c>
      <c r="F35">
        <f>G29-G6</f>
        <v>-443</v>
      </c>
    </row>
    <row r="36" spans="1:6" ht="15.6" x14ac:dyDescent="0.3">
      <c r="A36" s="25" t="s">
        <v>34</v>
      </c>
      <c r="B36" s="25"/>
      <c r="C36" s="25"/>
      <c r="D36" s="25"/>
      <c r="E36" s="25"/>
      <c r="F36" s="25">
        <f>SUM(F33:F35)</f>
        <v>-516</v>
      </c>
    </row>
    <row r="38" spans="1:6" x14ac:dyDescent="0.3">
      <c r="A38" t="s">
        <v>46</v>
      </c>
    </row>
    <row r="39" spans="1:6" x14ac:dyDescent="0.3">
      <c r="A39" t="s">
        <v>47</v>
      </c>
    </row>
    <row r="40" spans="1:6" x14ac:dyDescent="0.3">
      <c r="A40" t="s">
        <v>48</v>
      </c>
    </row>
    <row r="41" spans="1:6" x14ac:dyDescent="0.3">
      <c r="A41" t="s">
        <v>49</v>
      </c>
    </row>
    <row r="42" spans="1:6" x14ac:dyDescent="0.3">
      <c r="A42" t="s">
        <v>50</v>
      </c>
    </row>
    <row r="43" spans="1:6" x14ac:dyDescent="0.3">
      <c r="A43" t="s">
        <v>114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40"/>
  <dimension ref="A1:G43"/>
  <sheetViews>
    <sheetView topLeftCell="A13" workbookViewId="0"/>
  </sheetViews>
  <sheetFormatPr defaultRowHeight="14.4" x14ac:dyDescent="0.3"/>
  <sheetData>
    <row r="1" spans="1:7" x14ac:dyDescent="0.3">
      <c r="A1" s="24" t="s">
        <v>246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>
        <v>244</v>
      </c>
      <c r="D3" s="43">
        <v>43051</v>
      </c>
      <c r="E3">
        <v>0</v>
      </c>
      <c r="G3">
        <f>SUM(C3:F3)</f>
        <v>43295</v>
      </c>
    </row>
    <row r="4" spans="1:7" x14ac:dyDescent="0.3">
      <c r="A4" t="s">
        <v>36</v>
      </c>
      <c r="C4">
        <v>0</v>
      </c>
      <c r="D4">
        <v>0</v>
      </c>
      <c r="E4">
        <v>0</v>
      </c>
      <c r="G4">
        <f>SUM(C4:F4)</f>
        <v>0</v>
      </c>
    </row>
    <row r="5" spans="1:7" x14ac:dyDescent="0.3">
      <c r="A5" t="s">
        <v>141</v>
      </c>
      <c r="C5">
        <v>0</v>
      </c>
      <c r="D5">
        <v>8</v>
      </c>
      <c r="E5">
        <v>0</v>
      </c>
      <c r="G5">
        <f>SUM(C5:F5)</f>
        <v>8</v>
      </c>
    </row>
    <row r="6" spans="1:7" x14ac:dyDescent="0.3">
      <c r="A6" t="s">
        <v>37</v>
      </c>
      <c r="C6">
        <v>2411</v>
      </c>
      <c r="D6" s="43">
        <v>38202</v>
      </c>
      <c r="E6">
        <v>0</v>
      </c>
      <c r="G6">
        <f>SUM(C6:F6)</f>
        <v>40613</v>
      </c>
    </row>
    <row r="7" spans="1:7" ht="15.6" x14ac:dyDescent="0.3">
      <c r="A7" s="25" t="s">
        <v>63</v>
      </c>
      <c r="B7" s="25"/>
      <c r="C7" s="25">
        <f>SUM(C3:C6)</f>
        <v>2655</v>
      </c>
      <c r="D7" s="61">
        <f>SUM(D3:D6)</f>
        <v>81261</v>
      </c>
      <c r="E7" s="25">
        <f>SUM(E3:E6)</f>
        <v>0</v>
      </c>
      <c r="F7" s="25"/>
      <c r="G7" s="25">
        <f>SUM(G3:G6)</f>
        <v>83916</v>
      </c>
    </row>
    <row r="8" spans="1:7" ht="15.6" x14ac:dyDescent="0.3">
      <c r="A8" s="25"/>
      <c r="B8" s="25"/>
      <c r="C8" s="25"/>
      <c r="D8" s="61"/>
      <c r="E8" s="25"/>
      <c r="F8" s="25"/>
      <c r="G8" s="25"/>
    </row>
    <row r="9" spans="1:7" x14ac:dyDescent="0.3">
      <c r="A9" s="24" t="s">
        <v>254</v>
      </c>
      <c r="B9" s="24"/>
      <c r="C9" s="24"/>
      <c r="D9" s="24"/>
      <c r="E9" s="24"/>
      <c r="F9" s="24"/>
      <c r="G9" s="24"/>
    </row>
    <row r="10" spans="1:7" x14ac:dyDescent="0.3">
      <c r="C10" t="s">
        <v>57</v>
      </c>
      <c r="D10" t="s">
        <v>33</v>
      </c>
      <c r="G10" t="s">
        <v>56</v>
      </c>
    </row>
    <row r="11" spans="1:7" x14ac:dyDescent="0.3">
      <c r="A11" t="s">
        <v>35</v>
      </c>
      <c r="C11">
        <v>0</v>
      </c>
      <c r="D11" s="69">
        <v>9</v>
      </c>
      <c r="G11">
        <f>SUM(C11:E11)</f>
        <v>9</v>
      </c>
    </row>
    <row r="12" spans="1:7" x14ac:dyDescent="0.3">
      <c r="A12" t="s">
        <v>53</v>
      </c>
      <c r="C12">
        <v>0</v>
      </c>
      <c r="D12" s="43">
        <v>0</v>
      </c>
      <c r="G12">
        <f>SUM(C12:E12)</f>
        <v>0</v>
      </c>
    </row>
    <row r="13" spans="1:7" x14ac:dyDescent="0.3">
      <c r="A13" t="s">
        <v>140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54</v>
      </c>
      <c r="C14">
        <v>0</v>
      </c>
      <c r="D14" s="43">
        <v>1112</v>
      </c>
      <c r="G14">
        <f>SUM(C14:E14)</f>
        <v>1112</v>
      </c>
    </row>
    <row r="15" spans="1:7" ht="15.6" x14ac:dyDescent="0.3">
      <c r="A15" s="25" t="s">
        <v>55</v>
      </c>
      <c r="B15" s="25"/>
      <c r="C15" s="25">
        <f>SUM(C11:C14)</f>
        <v>0</v>
      </c>
      <c r="D15" s="25">
        <f>SUM(D11:D14)</f>
        <v>1121</v>
      </c>
      <c r="E15" s="25"/>
      <c r="F15" s="25"/>
      <c r="G15" s="25">
        <f>SUM(G11:G14)</f>
        <v>1121</v>
      </c>
    </row>
    <row r="17" spans="1:7" x14ac:dyDescent="0.3">
      <c r="A17" s="29" t="s">
        <v>255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113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0</v>
      </c>
      <c r="C19" s="43">
        <v>78</v>
      </c>
      <c r="D19" s="43">
        <v>6</v>
      </c>
      <c r="E19" s="43">
        <v>539</v>
      </c>
      <c r="F19" s="43">
        <v>0</v>
      </c>
      <c r="G19">
        <f>SUM(B19:F19)</f>
        <v>623</v>
      </c>
    </row>
    <row r="20" spans="1:7" x14ac:dyDescent="0.3">
      <c r="A20" t="s">
        <v>36</v>
      </c>
      <c r="B20">
        <v>0</v>
      </c>
      <c r="C20" s="43">
        <v>0</v>
      </c>
      <c r="D20" s="43">
        <v>0</v>
      </c>
      <c r="E20" s="43">
        <v>0</v>
      </c>
      <c r="F20" s="43">
        <v>0</v>
      </c>
      <c r="G20">
        <f>SUM(B20:F20)</f>
        <v>0</v>
      </c>
    </row>
    <row r="21" spans="1:7" x14ac:dyDescent="0.3">
      <c r="A21" t="s">
        <v>37</v>
      </c>
      <c r="B21">
        <v>0</v>
      </c>
      <c r="C21" s="43">
        <v>784</v>
      </c>
      <c r="D21" s="43">
        <v>18</v>
      </c>
      <c r="E21" s="43">
        <v>215</v>
      </c>
      <c r="F21" s="43">
        <v>18</v>
      </c>
      <c r="G21">
        <f>SUM(B21:F21)</f>
        <v>1035</v>
      </c>
    </row>
    <row r="22" spans="1:7" ht="15.6" x14ac:dyDescent="0.3">
      <c r="A22" t="s">
        <v>34</v>
      </c>
      <c r="C22" s="25">
        <f>SUM(C19:C21)</f>
        <v>862</v>
      </c>
      <c r="D22" s="25">
        <f>SUM(D19:D21)</f>
        <v>24</v>
      </c>
      <c r="E22" s="25">
        <f>SUM(E19:E21)</f>
        <v>754</v>
      </c>
      <c r="F22" s="25">
        <v>3</v>
      </c>
      <c r="G22" s="25">
        <f>SUM(G19:G21)</f>
        <v>1658</v>
      </c>
    </row>
    <row r="24" spans="1:7" x14ac:dyDescent="0.3">
      <c r="A24" s="24" t="s">
        <v>249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235</v>
      </c>
      <c r="D26" s="43">
        <v>42446</v>
      </c>
      <c r="E26">
        <v>0</v>
      </c>
      <c r="G26">
        <f>SUM(C26:F26)</f>
        <v>42681</v>
      </c>
    </row>
    <row r="27" spans="1:7" x14ac:dyDescent="0.3">
      <c r="A27" t="s">
        <v>36</v>
      </c>
      <c r="C27">
        <v>0</v>
      </c>
      <c r="D27">
        <v>0</v>
      </c>
      <c r="E27">
        <v>0</v>
      </c>
      <c r="G27">
        <f>SUM(C27:F27)</f>
        <v>0</v>
      </c>
    </row>
    <row r="28" spans="1:7" x14ac:dyDescent="0.3">
      <c r="A28" t="s">
        <v>141</v>
      </c>
      <c r="C28">
        <v>0</v>
      </c>
      <c r="D28">
        <v>8</v>
      </c>
      <c r="E28">
        <v>0</v>
      </c>
      <c r="G28">
        <f>SUM(C28:F28)</f>
        <v>8</v>
      </c>
    </row>
    <row r="29" spans="1:7" x14ac:dyDescent="0.3">
      <c r="A29" t="s">
        <v>37</v>
      </c>
      <c r="C29">
        <v>1821</v>
      </c>
      <c r="D29" s="43">
        <v>38869</v>
      </c>
      <c r="E29">
        <v>0</v>
      </c>
      <c r="G29">
        <f>SUM(C29:F29)</f>
        <v>40690</v>
      </c>
    </row>
    <row r="30" spans="1:7" ht="15.6" x14ac:dyDescent="0.3">
      <c r="A30" s="25" t="s">
        <v>63</v>
      </c>
      <c r="B30" s="25"/>
      <c r="C30" s="25">
        <f>SUM(C26:C29)</f>
        <v>2056</v>
      </c>
      <c r="D30" s="61">
        <f>SUM(D26:D29)</f>
        <v>81323</v>
      </c>
      <c r="E30" s="25">
        <f>SUM(E26:E29)</f>
        <v>0</v>
      </c>
      <c r="F30" s="25"/>
      <c r="G30" s="25">
        <f>SUM(G26:G29)</f>
        <v>83379</v>
      </c>
    </row>
    <row r="32" spans="1:7" ht="15.6" x14ac:dyDescent="0.3">
      <c r="A32" s="26" t="s">
        <v>250</v>
      </c>
      <c r="B32" s="26"/>
      <c r="C32" s="24"/>
      <c r="D32" s="24"/>
      <c r="E32" s="24"/>
      <c r="F32" s="24"/>
    </row>
    <row r="33" spans="1:6" x14ac:dyDescent="0.3">
      <c r="A33" t="s">
        <v>35</v>
      </c>
      <c r="F33">
        <f>G26-G3</f>
        <v>-614</v>
      </c>
    </row>
    <row r="34" spans="1:6" x14ac:dyDescent="0.3">
      <c r="A34" t="s">
        <v>36</v>
      </c>
      <c r="F34">
        <f>G27-G4</f>
        <v>0</v>
      </c>
    </row>
    <row r="35" spans="1:6" x14ac:dyDescent="0.3">
      <c r="A35" t="s">
        <v>37</v>
      </c>
      <c r="F35">
        <f>G29-G6</f>
        <v>77</v>
      </c>
    </row>
    <row r="36" spans="1:6" ht="15.6" x14ac:dyDescent="0.3">
      <c r="A36" s="25" t="s">
        <v>34</v>
      </c>
      <c r="B36" s="25"/>
      <c r="C36" s="25"/>
      <c r="D36" s="25"/>
      <c r="E36" s="25"/>
      <c r="F36" s="25">
        <f>SUM(F33:F35)</f>
        <v>-537</v>
      </c>
    </row>
    <row r="38" spans="1:6" x14ac:dyDescent="0.3">
      <c r="A38" t="s">
        <v>46</v>
      </c>
    </row>
    <row r="39" spans="1:6" x14ac:dyDescent="0.3">
      <c r="A39" t="s">
        <v>47</v>
      </c>
    </row>
    <row r="40" spans="1:6" x14ac:dyDescent="0.3">
      <c r="A40" t="s">
        <v>48</v>
      </c>
    </row>
    <row r="41" spans="1:6" x14ac:dyDescent="0.3">
      <c r="A41" t="s">
        <v>49</v>
      </c>
    </row>
    <row r="42" spans="1:6" x14ac:dyDescent="0.3">
      <c r="A42" t="s">
        <v>50</v>
      </c>
    </row>
    <row r="43" spans="1:6" x14ac:dyDescent="0.3">
      <c r="A43" t="s">
        <v>114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Planilha41"/>
  <dimension ref="A1:G43"/>
  <sheetViews>
    <sheetView workbookViewId="0"/>
  </sheetViews>
  <sheetFormatPr defaultRowHeight="14.4" x14ac:dyDescent="0.3"/>
  <sheetData>
    <row r="1" spans="1:7" x14ac:dyDescent="0.3">
      <c r="A1" s="24" t="s">
        <v>249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>
        <v>235</v>
      </c>
      <c r="D3" s="43">
        <v>42446</v>
      </c>
      <c r="E3">
        <v>0</v>
      </c>
      <c r="G3">
        <f>SUM(C3:F3)</f>
        <v>42681</v>
      </c>
    </row>
    <row r="4" spans="1:7" x14ac:dyDescent="0.3">
      <c r="A4" t="s">
        <v>36</v>
      </c>
      <c r="C4">
        <v>0</v>
      </c>
      <c r="D4">
        <v>0</v>
      </c>
      <c r="E4">
        <v>0</v>
      </c>
      <c r="G4">
        <f>SUM(C4:F4)</f>
        <v>0</v>
      </c>
    </row>
    <row r="5" spans="1:7" x14ac:dyDescent="0.3">
      <c r="A5" t="s">
        <v>141</v>
      </c>
      <c r="C5">
        <v>0</v>
      </c>
      <c r="D5">
        <v>8</v>
      </c>
      <c r="E5">
        <v>0</v>
      </c>
      <c r="G5">
        <f>SUM(C5:F5)</f>
        <v>8</v>
      </c>
    </row>
    <row r="6" spans="1:7" x14ac:dyDescent="0.3">
      <c r="A6" t="s">
        <v>37</v>
      </c>
      <c r="C6">
        <v>1821</v>
      </c>
      <c r="D6" s="43">
        <v>38869</v>
      </c>
      <c r="E6">
        <v>0</v>
      </c>
      <c r="G6">
        <f>SUM(C6:F6)</f>
        <v>40690</v>
      </c>
    </row>
    <row r="7" spans="1:7" ht="15.6" x14ac:dyDescent="0.3">
      <c r="A7" s="25" t="s">
        <v>63</v>
      </c>
      <c r="B7" s="25"/>
      <c r="C7" s="25">
        <f>SUM(C3:C6)</f>
        <v>2056</v>
      </c>
      <c r="D7" s="61">
        <f>SUM(D3:D6)</f>
        <v>81323</v>
      </c>
      <c r="E7" s="25">
        <f>SUM(E3:E6)</f>
        <v>0</v>
      </c>
      <c r="F7" s="25"/>
      <c r="G7" s="25">
        <f>SUM(G3:G6)</f>
        <v>83379</v>
      </c>
    </row>
    <row r="8" spans="1:7" ht="15.6" x14ac:dyDescent="0.3">
      <c r="A8" s="25"/>
      <c r="B8" s="25"/>
      <c r="C8" s="25"/>
      <c r="D8" s="61"/>
      <c r="E8" s="25"/>
      <c r="F8" s="25"/>
      <c r="G8" s="25"/>
    </row>
    <row r="9" spans="1:7" x14ac:dyDescent="0.3">
      <c r="A9" s="24" t="s">
        <v>251</v>
      </c>
      <c r="B9" s="24"/>
      <c r="C9" s="24"/>
      <c r="D9" s="24"/>
      <c r="E9" s="24"/>
      <c r="F9" s="24"/>
      <c r="G9" s="24"/>
    </row>
    <row r="10" spans="1:7" x14ac:dyDescent="0.3">
      <c r="C10" t="s">
        <v>57</v>
      </c>
      <c r="D10" t="s">
        <v>33</v>
      </c>
      <c r="G10" t="s">
        <v>56</v>
      </c>
    </row>
    <row r="11" spans="1:7" x14ac:dyDescent="0.3">
      <c r="A11" t="s">
        <v>35</v>
      </c>
      <c r="C11">
        <v>0</v>
      </c>
      <c r="D11" s="69">
        <v>33</v>
      </c>
      <c r="G11">
        <f>SUM(C11:E11)</f>
        <v>33</v>
      </c>
    </row>
    <row r="12" spans="1:7" x14ac:dyDescent="0.3">
      <c r="A12" t="s">
        <v>53</v>
      </c>
      <c r="C12">
        <v>0</v>
      </c>
      <c r="D12" s="43">
        <v>0</v>
      </c>
      <c r="G12">
        <f>SUM(C12:E12)</f>
        <v>0</v>
      </c>
    </row>
    <row r="13" spans="1:7" x14ac:dyDescent="0.3">
      <c r="A13" t="s">
        <v>140</v>
      </c>
      <c r="C13">
        <v>0</v>
      </c>
      <c r="D13" s="43">
        <v>2</v>
      </c>
      <c r="G13">
        <f>SUM(C13:E13)</f>
        <v>2</v>
      </c>
    </row>
    <row r="14" spans="1:7" x14ac:dyDescent="0.3">
      <c r="A14" t="s">
        <v>54</v>
      </c>
      <c r="C14">
        <v>0</v>
      </c>
      <c r="D14" s="43">
        <v>368</v>
      </c>
      <c r="G14">
        <f>SUM(C14:E14)</f>
        <v>368</v>
      </c>
    </row>
    <row r="15" spans="1:7" ht="15.6" x14ac:dyDescent="0.3">
      <c r="A15" s="25" t="s">
        <v>55</v>
      </c>
      <c r="B15" s="25"/>
      <c r="C15" s="25">
        <f>SUM(C11:C14)</f>
        <v>0</v>
      </c>
      <c r="D15" s="25">
        <f>SUM(D11:D14)</f>
        <v>403</v>
      </c>
      <c r="E15" s="25"/>
      <c r="F15" s="25"/>
      <c r="G15" s="25">
        <f>SUM(G11:G14)</f>
        <v>403</v>
      </c>
    </row>
    <row r="17" spans="1:7" x14ac:dyDescent="0.3">
      <c r="A17" s="29" t="s">
        <v>252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113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0</v>
      </c>
      <c r="C19" s="43">
        <v>61</v>
      </c>
      <c r="D19" s="43">
        <v>18</v>
      </c>
      <c r="E19" s="43">
        <v>195</v>
      </c>
      <c r="F19" s="43">
        <v>0</v>
      </c>
      <c r="G19">
        <f>SUM(B19:F19)</f>
        <v>274</v>
      </c>
    </row>
    <row r="20" spans="1:7" x14ac:dyDescent="0.3">
      <c r="A20" t="s">
        <v>36</v>
      </c>
      <c r="B20">
        <v>0</v>
      </c>
      <c r="C20" s="43">
        <v>0</v>
      </c>
      <c r="D20" s="43">
        <v>0</v>
      </c>
      <c r="E20" s="43">
        <v>0</v>
      </c>
      <c r="F20" s="43">
        <v>0</v>
      </c>
      <c r="G20">
        <f>SUM(B20:F20)</f>
        <v>0</v>
      </c>
    </row>
    <row r="21" spans="1:7" x14ac:dyDescent="0.3">
      <c r="A21" t="s">
        <v>37</v>
      </c>
      <c r="B21">
        <v>0</v>
      </c>
      <c r="C21" s="43">
        <v>1052</v>
      </c>
      <c r="D21" s="43">
        <v>63</v>
      </c>
      <c r="E21" s="43">
        <v>163</v>
      </c>
      <c r="F21" s="43">
        <v>11</v>
      </c>
      <c r="G21">
        <f>SUM(B21:F21)</f>
        <v>1289</v>
      </c>
    </row>
    <row r="22" spans="1:7" ht="15.6" x14ac:dyDescent="0.3">
      <c r="A22" t="s">
        <v>34</v>
      </c>
      <c r="C22" s="25">
        <f>SUM(C19:C21)</f>
        <v>1113</v>
      </c>
      <c r="D22" s="25">
        <f>SUM(D19:D21)</f>
        <v>81</v>
      </c>
      <c r="E22" s="25">
        <f>SUM(E19:E21)</f>
        <v>358</v>
      </c>
      <c r="F22" s="25">
        <v>3</v>
      </c>
      <c r="G22" s="25">
        <f>SUM(G19:G21)</f>
        <v>1563</v>
      </c>
    </row>
    <row r="24" spans="1:7" x14ac:dyDescent="0.3">
      <c r="A24" s="24" t="s">
        <v>253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306</v>
      </c>
      <c r="D26" s="43">
        <v>42134</v>
      </c>
      <c r="E26">
        <v>0</v>
      </c>
      <c r="G26">
        <f>SUM(C26:F26)</f>
        <v>42440</v>
      </c>
    </row>
    <row r="27" spans="1:7" x14ac:dyDescent="0.3">
      <c r="A27" t="s">
        <v>36</v>
      </c>
      <c r="C27">
        <v>0</v>
      </c>
      <c r="D27">
        <v>0</v>
      </c>
      <c r="E27">
        <v>0</v>
      </c>
      <c r="G27">
        <f>SUM(C27:F27)</f>
        <v>0</v>
      </c>
    </row>
    <row r="28" spans="1:7" x14ac:dyDescent="0.3">
      <c r="A28" t="s">
        <v>141</v>
      </c>
      <c r="C28">
        <v>0</v>
      </c>
      <c r="D28">
        <v>10</v>
      </c>
      <c r="E28">
        <v>0</v>
      </c>
      <c r="G28">
        <f>SUM(C28:F28)</f>
        <v>10</v>
      </c>
    </row>
    <row r="29" spans="1:7" x14ac:dyDescent="0.3">
      <c r="A29" t="s">
        <v>37</v>
      </c>
      <c r="C29">
        <v>3149</v>
      </c>
      <c r="D29" s="43">
        <v>36620</v>
      </c>
      <c r="E29">
        <v>0</v>
      </c>
      <c r="G29">
        <f>SUM(C29:F29)</f>
        <v>39769</v>
      </c>
    </row>
    <row r="30" spans="1:7" ht="15.6" x14ac:dyDescent="0.3">
      <c r="A30" s="25" t="s">
        <v>63</v>
      </c>
      <c r="B30" s="25"/>
      <c r="C30" s="25">
        <f>SUM(C26:C29)</f>
        <v>3455</v>
      </c>
      <c r="D30" s="61">
        <f>SUM(D26:D29)</f>
        <v>78764</v>
      </c>
      <c r="E30" s="25">
        <f>SUM(E26:E29)</f>
        <v>0</v>
      </c>
      <c r="F30" s="25"/>
      <c r="G30" s="25">
        <f>SUM(G26:G29)</f>
        <v>82219</v>
      </c>
    </row>
    <row r="32" spans="1:7" ht="15.6" x14ac:dyDescent="0.3">
      <c r="A32" s="26" t="s">
        <v>260</v>
      </c>
      <c r="B32" s="26"/>
      <c r="C32" s="24"/>
      <c r="D32" s="24"/>
      <c r="E32" s="24"/>
      <c r="F32" s="24"/>
    </row>
    <row r="33" spans="1:6" x14ac:dyDescent="0.3">
      <c r="A33" t="s">
        <v>35</v>
      </c>
      <c r="F33">
        <f>G26-G3</f>
        <v>-241</v>
      </c>
    </row>
    <row r="34" spans="1:6" x14ac:dyDescent="0.3">
      <c r="A34" t="s">
        <v>36</v>
      </c>
      <c r="F34">
        <f>G27-G4</f>
        <v>0</v>
      </c>
    </row>
    <row r="35" spans="1:6" x14ac:dyDescent="0.3">
      <c r="A35" t="s">
        <v>37</v>
      </c>
      <c r="F35">
        <f>G29-G6</f>
        <v>-921</v>
      </c>
    </row>
    <row r="36" spans="1:6" ht="15.6" x14ac:dyDescent="0.3">
      <c r="A36" s="25" t="s">
        <v>34</v>
      </c>
      <c r="B36" s="25"/>
      <c r="C36" s="25"/>
      <c r="D36" s="25"/>
      <c r="E36" s="25"/>
      <c r="F36" s="25">
        <f>SUM(F33:F35)</f>
        <v>-1162</v>
      </c>
    </row>
    <row r="38" spans="1:6" x14ac:dyDescent="0.3">
      <c r="A38" t="s">
        <v>46</v>
      </c>
    </row>
    <row r="39" spans="1:6" x14ac:dyDescent="0.3">
      <c r="A39" t="s">
        <v>47</v>
      </c>
    </row>
    <row r="40" spans="1:6" x14ac:dyDescent="0.3">
      <c r="A40" t="s">
        <v>48</v>
      </c>
    </row>
    <row r="41" spans="1:6" x14ac:dyDescent="0.3">
      <c r="A41" t="s">
        <v>49</v>
      </c>
    </row>
    <row r="42" spans="1:6" x14ac:dyDescent="0.3">
      <c r="A42" t="s">
        <v>50</v>
      </c>
    </row>
    <row r="43" spans="1:6" x14ac:dyDescent="0.3">
      <c r="A43" t="s">
        <v>114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Planilha42"/>
  <dimension ref="A1:G43"/>
  <sheetViews>
    <sheetView topLeftCell="A22" workbookViewId="0"/>
  </sheetViews>
  <sheetFormatPr defaultRowHeight="14.4" x14ac:dyDescent="0.3"/>
  <sheetData>
    <row r="1" spans="1:7" x14ac:dyDescent="0.3">
      <c r="A1" s="24" t="s">
        <v>261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>
        <v>306</v>
      </c>
      <c r="D3" s="43">
        <v>42134</v>
      </c>
      <c r="E3">
        <v>0</v>
      </c>
      <c r="G3">
        <f>SUM(C3:F3)</f>
        <v>42440</v>
      </c>
    </row>
    <row r="4" spans="1:7" x14ac:dyDescent="0.3">
      <c r="A4" t="s">
        <v>36</v>
      </c>
      <c r="C4">
        <v>0</v>
      </c>
      <c r="D4">
        <v>0</v>
      </c>
      <c r="E4">
        <v>0</v>
      </c>
      <c r="G4">
        <f>SUM(C4:F4)</f>
        <v>0</v>
      </c>
    </row>
    <row r="5" spans="1:7" x14ac:dyDescent="0.3">
      <c r="A5" t="s">
        <v>141</v>
      </c>
      <c r="C5">
        <v>0</v>
      </c>
      <c r="D5">
        <v>10</v>
      </c>
      <c r="E5">
        <v>0</v>
      </c>
      <c r="G5">
        <f>SUM(C5:F5)</f>
        <v>10</v>
      </c>
    </row>
    <row r="6" spans="1:7" x14ac:dyDescent="0.3">
      <c r="A6" t="s">
        <v>37</v>
      </c>
      <c r="C6">
        <v>3149</v>
      </c>
      <c r="D6" s="43">
        <v>36620</v>
      </c>
      <c r="E6">
        <v>0</v>
      </c>
      <c r="G6">
        <f>SUM(C6:F6)</f>
        <v>39769</v>
      </c>
    </row>
    <row r="7" spans="1:7" ht="15.6" x14ac:dyDescent="0.3">
      <c r="A7" s="25" t="s">
        <v>63</v>
      </c>
      <c r="B7" s="25"/>
      <c r="C7" s="25">
        <f>SUM(C3:C6)</f>
        <v>3455</v>
      </c>
      <c r="D7" s="61">
        <f>SUM(D3:D6)</f>
        <v>78764</v>
      </c>
      <c r="E7" s="25">
        <f>SUM(E3:E6)</f>
        <v>0</v>
      </c>
      <c r="F7" s="25"/>
      <c r="G7" s="25">
        <f>SUM(G3:G6)</f>
        <v>82219</v>
      </c>
    </row>
    <row r="8" spans="1:7" ht="15.6" x14ac:dyDescent="0.3">
      <c r="A8" s="25"/>
      <c r="B8" s="25"/>
      <c r="C8" s="25"/>
      <c r="D8" s="61"/>
      <c r="E8" s="25"/>
      <c r="F8" s="25"/>
      <c r="G8" s="25"/>
    </row>
    <row r="9" spans="1:7" x14ac:dyDescent="0.3">
      <c r="A9" s="24" t="s">
        <v>262</v>
      </c>
      <c r="B9" s="24"/>
      <c r="C9" s="24"/>
      <c r="D9" s="24"/>
      <c r="E9" s="24"/>
      <c r="F9" s="24"/>
      <c r="G9" s="24"/>
    </row>
    <row r="10" spans="1:7" x14ac:dyDescent="0.3">
      <c r="C10" t="s">
        <v>57</v>
      </c>
      <c r="D10" t="s">
        <v>33</v>
      </c>
      <c r="G10" t="s">
        <v>56</v>
      </c>
    </row>
    <row r="11" spans="1:7" x14ac:dyDescent="0.3">
      <c r="A11" t="s">
        <v>35</v>
      </c>
      <c r="C11">
        <v>0</v>
      </c>
      <c r="D11" s="69">
        <v>115</v>
      </c>
      <c r="G11">
        <f>SUM(C11:E11)</f>
        <v>115</v>
      </c>
    </row>
    <row r="12" spans="1:7" x14ac:dyDescent="0.3">
      <c r="A12" t="s">
        <v>53</v>
      </c>
      <c r="C12">
        <v>0</v>
      </c>
      <c r="D12" s="43">
        <v>0</v>
      </c>
      <c r="G12">
        <f>SUM(C12:E12)</f>
        <v>0</v>
      </c>
    </row>
    <row r="13" spans="1:7" x14ac:dyDescent="0.3">
      <c r="A13" t="s">
        <v>140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54</v>
      </c>
      <c r="C14">
        <v>0</v>
      </c>
      <c r="D14" s="43">
        <v>2119</v>
      </c>
      <c r="G14">
        <f>SUM(C14:E14)</f>
        <v>2119</v>
      </c>
    </row>
    <row r="15" spans="1:7" ht="15.6" x14ac:dyDescent="0.3">
      <c r="A15" s="25" t="s">
        <v>55</v>
      </c>
      <c r="B15" s="25"/>
      <c r="C15" s="25">
        <f>SUM(C11:C14)</f>
        <v>0</v>
      </c>
      <c r="D15" s="25">
        <f>SUM(D11:D14)</f>
        <v>2234</v>
      </c>
      <c r="E15" s="25"/>
      <c r="F15" s="25"/>
      <c r="G15" s="25">
        <f>SUM(G11:G14)</f>
        <v>2234</v>
      </c>
    </row>
    <row r="17" spans="1:7" x14ac:dyDescent="0.3">
      <c r="A17" s="29" t="s">
        <v>263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113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0</v>
      </c>
      <c r="C19" s="43">
        <v>23</v>
      </c>
      <c r="D19" s="43">
        <v>4</v>
      </c>
      <c r="E19" s="43">
        <v>45</v>
      </c>
      <c r="F19" s="43">
        <v>0</v>
      </c>
      <c r="G19">
        <f>SUM(B19:F19)</f>
        <v>72</v>
      </c>
    </row>
    <row r="20" spans="1:7" x14ac:dyDescent="0.3">
      <c r="A20" t="s">
        <v>36</v>
      </c>
      <c r="B20">
        <v>0</v>
      </c>
      <c r="C20" s="43">
        <v>0</v>
      </c>
      <c r="D20" s="43">
        <v>0</v>
      </c>
      <c r="E20" s="43">
        <v>0</v>
      </c>
      <c r="F20" s="43">
        <v>0</v>
      </c>
      <c r="G20">
        <f>SUM(B20:F20)</f>
        <v>0</v>
      </c>
    </row>
    <row r="21" spans="1:7" x14ac:dyDescent="0.3">
      <c r="A21" t="s">
        <v>37</v>
      </c>
      <c r="B21">
        <v>0</v>
      </c>
      <c r="C21" s="43">
        <v>616</v>
      </c>
      <c r="D21" s="43">
        <v>57</v>
      </c>
      <c r="E21" s="43">
        <v>135</v>
      </c>
      <c r="F21" s="43">
        <v>1</v>
      </c>
      <c r="G21">
        <f>SUM(B21:F21)</f>
        <v>809</v>
      </c>
    </row>
    <row r="22" spans="1:7" ht="15.6" x14ac:dyDescent="0.3">
      <c r="A22" t="s">
        <v>34</v>
      </c>
      <c r="C22" s="25">
        <f>SUM(C19:C21)</f>
        <v>639</v>
      </c>
      <c r="D22" s="25">
        <f>SUM(D19:D21)</f>
        <v>61</v>
      </c>
      <c r="E22" s="25">
        <f>SUM(E19:E21)</f>
        <v>180</v>
      </c>
      <c r="F22" s="61">
        <f>SUM(F19:F21)</f>
        <v>1</v>
      </c>
      <c r="G22" s="25">
        <f>SUM(C22:F22)</f>
        <v>881</v>
      </c>
    </row>
    <row r="24" spans="1:7" x14ac:dyDescent="0.3">
      <c r="A24" s="24" t="s">
        <v>264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280</v>
      </c>
      <c r="D26" s="43">
        <v>42203</v>
      </c>
      <c r="E26">
        <v>0</v>
      </c>
      <c r="G26">
        <f>SUM(C26:F26)</f>
        <v>42483</v>
      </c>
    </row>
    <row r="27" spans="1:7" x14ac:dyDescent="0.3">
      <c r="A27" t="s">
        <v>36</v>
      </c>
      <c r="C27">
        <v>0</v>
      </c>
      <c r="D27">
        <v>0</v>
      </c>
      <c r="E27">
        <v>0</v>
      </c>
      <c r="G27">
        <f>SUM(C27:F27)</f>
        <v>0</v>
      </c>
    </row>
    <row r="28" spans="1:7" x14ac:dyDescent="0.3">
      <c r="A28" t="s">
        <v>141</v>
      </c>
      <c r="C28">
        <v>0</v>
      </c>
      <c r="D28">
        <v>10</v>
      </c>
      <c r="E28">
        <v>0</v>
      </c>
      <c r="G28">
        <f>SUM(C28:F28)</f>
        <v>10</v>
      </c>
    </row>
    <row r="29" spans="1:7" x14ac:dyDescent="0.3">
      <c r="A29" t="s">
        <v>37</v>
      </c>
      <c r="C29">
        <v>2480</v>
      </c>
      <c r="D29" s="43">
        <v>38599</v>
      </c>
      <c r="E29">
        <v>0</v>
      </c>
      <c r="G29">
        <f>SUM(C29:F29)</f>
        <v>41079</v>
      </c>
    </row>
    <row r="30" spans="1:7" ht="15.6" x14ac:dyDescent="0.3">
      <c r="A30" s="25" t="s">
        <v>63</v>
      </c>
      <c r="B30" s="25"/>
      <c r="C30" s="25">
        <f>SUM(C26:C29)</f>
        <v>2760</v>
      </c>
      <c r="D30" s="61">
        <f>SUM(D26:D29)</f>
        <v>80812</v>
      </c>
      <c r="E30" s="25">
        <f>SUM(E26:E29)</f>
        <v>0</v>
      </c>
      <c r="F30" s="25"/>
      <c r="G30" s="25">
        <f>SUM(G26:G29)</f>
        <v>83572</v>
      </c>
    </row>
    <row r="32" spans="1:7" ht="15.6" x14ac:dyDescent="0.3">
      <c r="A32" s="26" t="s">
        <v>265</v>
      </c>
      <c r="B32" s="26"/>
      <c r="C32" s="24"/>
      <c r="D32" s="24"/>
      <c r="E32" s="24"/>
      <c r="F32" s="24"/>
    </row>
    <row r="33" spans="1:6" x14ac:dyDescent="0.3">
      <c r="A33" t="s">
        <v>35</v>
      </c>
      <c r="F33">
        <f>G26-G3</f>
        <v>43</v>
      </c>
    </row>
    <row r="34" spans="1:6" x14ac:dyDescent="0.3">
      <c r="A34" t="s">
        <v>36</v>
      </c>
      <c r="F34">
        <f>G27-G4</f>
        <v>0</v>
      </c>
    </row>
    <row r="35" spans="1:6" x14ac:dyDescent="0.3">
      <c r="A35" t="s">
        <v>37</v>
      </c>
      <c r="F35">
        <f>G29-G6</f>
        <v>1310</v>
      </c>
    </row>
    <row r="36" spans="1:6" ht="15.6" x14ac:dyDescent="0.3">
      <c r="A36" s="25" t="s">
        <v>34</v>
      </c>
      <c r="B36" s="25"/>
      <c r="C36" s="25"/>
      <c r="D36" s="25"/>
      <c r="E36" s="25"/>
      <c r="F36" s="25">
        <f>SUM(F33:F35)</f>
        <v>1353</v>
      </c>
    </row>
    <row r="38" spans="1:6" x14ac:dyDescent="0.3">
      <c r="A38" t="s">
        <v>46</v>
      </c>
    </row>
    <row r="39" spans="1:6" x14ac:dyDescent="0.3">
      <c r="A39" t="s">
        <v>47</v>
      </c>
    </row>
    <row r="40" spans="1:6" x14ac:dyDescent="0.3">
      <c r="A40" t="s">
        <v>48</v>
      </c>
    </row>
    <row r="41" spans="1:6" x14ac:dyDescent="0.3">
      <c r="A41" t="s">
        <v>49</v>
      </c>
    </row>
    <row r="42" spans="1:6" x14ac:dyDescent="0.3">
      <c r="A42" t="s">
        <v>50</v>
      </c>
    </row>
    <row r="43" spans="1:6" x14ac:dyDescent="0.3">
      <c r="A43" t="s">
        <v>114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Planilha43"/>
  <dimension ref="A1:G43"/>
  <sheetViews>
    <sheetView topLeftCell="A13" workbookViewId="0"/>
  </sheetViews>
  <sheetFormatPr defaultRowHeight="14.4" x14ac:dyDescent="0.3"/>
  <sheetData>
    <row r="1" spans="1:7" x14ac:dyDescent="0.3">
      <c r="A1" s="24" t="s">
        <v>266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>
        <v>280</v>
      </c>
      <c r="D3" s="43">
        <v>42203</v>
      </c>
      <c r="E3">
        <v>0</v>
      </c>
      <c r="G3">
        <f>SUM(C3:F3)</f>
        <v>42483</v>
      </c>
    </row>
    <row r="4" spans="1:7" x14ac:dyDescent="0.3">
      <c r="A4" t="s">
        <v>36</v>
      </c>
      <c r="C4">
        <v>0</v>
      </c>
      <c r="D4">
        <v>0</v>
      </c>
      <c r="E4">
        <v>0</v>
      </c>
      <c r="G4">
        <f>SUM(C4:F4)</f>
        <v>0</v>
      </c>
    </row>
    <row r="5" spans="1:7" x14ac:dyDescent="0.3">
      <c r="A5" t="s">
        <v>141</v>
      </c>
      <c r="C5">
        <v>0</v>
      </c>
      <c r="D5">
        <v>10</v>
      </c>
      <c r="E5">
        <v>0</v>
      </c>
      <c r="G5">
        <f>SUM(C5:F5)</f>
        <v>10</v>
      </c>
    </row>
    <row r="6" spans="1:7" x14ac:dyDescent="0.3">
      <c r="A6" t="s">
        <v>37</v>
      </c>
      <c r="C6">
        <v>2480</v>
      </c>
      <c r="D6" s="43">
        <v>38599</v>
      </c>
      <c r="E6">
        <v>0</v>
      </c>
      <c r="G6">
        <f>SUM(C6:F6)</f>
        <v>41079</v>
      </c>
    </row>
    <row r="7" spans="1:7" ht="15.6" x14ac:dyDescent="0.3">
      <c r="A7" s="25" t="s">
        <v>63</v>
      </c>
      <c r="B7" s="25"/>
      <c r="C7" s="25">
        <f>SUM(C3:C6)</f>
        <v>2760</v>
      </c>
      <c r="D7" s="61">
        <f>SUM(D3:D6)</f>
        <v>80812</v>
      </c>
      <c r="E7" s="25">
        <f>SUM(E3:E6)</f>
        <v>0</v>
      </c>
      <c r="F7" s="25"/>
      <c r="G7" s="25">
        <f>SUM(G3:G6)</f>
        <v>83572</v>
      </c>
    </row>
    <row r="8" spans="1:7" ht="15.6" x14ac:dyDescent="0.3">
      <c r="A8" s="25"/>
      <c r="B8" s="25"/>
      <c r="C8" s="25"/>
      <c r="D8" s="61"/>
      <c r="E8" s="25"/>
      <c r="F8" s="25"/>
      <c r="G8" s="25"/>
    </row>
    <row r="9" spans="1:7" x14ac:dyDescent="0.3">
      <c r="A9" s="24" t="s">
        <v>267</v>
      </c>
      <c r="B9" s="24"/>
      <c r="C9" s="24"/>
      <c r="D9" s="24"/>
      <c r="E9" s="24"/>
      <c r="F9" s="24"/>
      <c r="G9" s="24"/>
    </row>
    <row r="10" spans="1:7" x14ac:dyDescent="0.3">
      <c r="C10" t="s">
        <v>57</v>
      </c>
      <c r="D10" t="s">
        <v>33</v>
      </c>
      <c r="G10" t="s">
        <v>56</v>
      </c>
    </row>
    <row r="11" spans="1:7" x14ac:dyDescent="0.3">
      <c r="A11" t="s">
        <v>35</v>
      </c>
      <c r="C11">
        <v>0</v>
      </c>
      <c r="D11" s="69">
        <v>7</v>
      </c>
      <c r="G11">
        <f>SUM(C11:E11)</f>
        <v>7</v>
      </c>
    </row>
    <row r="12" spans="1:7" x14ac:dyDescent="0.3">
      <c r="A12" t="s">
        <v>53</v>
      </c>
      <c r="C12">
        <v>0</v>
      </c>
      <c r="D12" s="43">
        <v>0</v>
      </c>
      <c r="G12">
        <f>SUM(C12:E12)</f>
        <v>0</v>
      </c>
    </row>
    <row r="13" spans="1:7" x14ac:dyDescent="0.3">
      <c r="A13" t="s">
        <v>140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54</v>
      </c>
      <c r="C14">
        <v>0</v>
      </c>
      <c r="D14" s="43">
        <v>1098</v>
      </c>
      <c r="G14">
        <f>SUM(C14:E14)</f>
        <v>1098</v>
      </c>
    </row>
    <row r="15" spans="1:7" ht="15.6" x14ac:dyDescent="0.3">
      <c r="A15" s="25" t="s">
        <v>55</v>
      </c>
      <c r="B15" s="25"/>
      <c r="C15" s="25">
        <f>SUM(C11:C14)</f>
        <v>0</v>
      </c>
      <c r="D15" s="25">
        <f>SUM(D11:D14)</f>
        <v>1105</v>
      </c>
      <c r="E15" s="25"/>
      <c r="F15" s="25"/>
      <c r="G15" s="25">
        <f>SUM(G11:G14)</f>
        <v>1105</v>
      </c>
    </row>
    <row r="17" spans="1:7" x14ac:dyDescent="0.3">
      <c r="A17" s="29" t="s">
        <v>268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113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0</v>
      </c>
      <c r="C19" s="43">
        <v>126</v>
      </c>
      <c r="D19" s="43">
        <v>4</v>
      </c>
      <c r="E19" s="43">
        <v>258</v>
      </c>
      <c r="F19" s="43">
        <v>0</v>
      </c>
      <c r="G19">
        <f>SUM(B19:F19)</f>
        <v>388</v>
      </c>
    </row>
    <row r="20" spans="1:7" x14ac:dyDescent="0.3">
      <c r="A20" t="s">
        <v>36</v>
      </c>
      <c r="B20">
        <v>0</v>
      </c>
      <c r="C20" s="43">
        <v>0</v>
      </c>
      <c r="D20" s="43">
        <v>0</v>
      </c>
      <c r="E20" s="43">
        <v>0</v>
      </c>
      <c r="F20" s="43">
        <v>0</v>
      </c>
      <c r="G20">
        <f>SUM(B20:F20)</f>
        <v>0</v>
      </c>
    </row>
    <row r="21" spans="1:7" x14ac:dyDescent="0.3">
      <c r="A21" t="s">
        <v>37</v>
      </c>
      <c r="B21">
        <v>0</v>
      </c>
      <c r="C21" s="43">
        <v>979</v>
      </c>
      <c r="D21" s="43">
        <v>56</v>
      </c>
      <c r="E21" s="43">
        <v>144</v>
      </c>
      <c r="F21" s="43">
        <v>17</v>
      </c>
      <c r="G21">
        <f>SUM(B21:F21)</f>
        <v>1196</v>
      </c>
    </row>
    <row r="22" spans="1:7" ht="15.6" x14ac:dyDescent="0.3">
      <c r="A22" t="s">
        <v>34</v>
      </c>
      <c r="C22" s="25">
        <f>SUM(C19:C21)</f>
        <v>1105</v>
      </c>
      <c r="D22" s="25">
        <f>SUM(D19:D21)</f>
        <v>60</v>
      </c>
      <c r="E22" s="25">
        <f>SUM(E19:E21)</f>
        <v>402</v>
      </c>
      <c r="F22" s="61">
        <f>SUM(F19:F21)</f>
        <v>17</v>
      </c>
      <c r="G22" s="25">
        <f>SUM(C22:F22)</f>
        <v>1584</v>
      </c>
    </row>
    <row r="24" spans="1:7" x14ac:dyDescent="0.3">
      <c r="A24" s="24" t="s">
        <v>269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788</v>
      </c>
      <c r="D26" s="43">
        <v>41308</v>
      </c>
      <c r="E26">
        <v>0</v>
      </c>
      <c r="G26">
        <f>SUM(C26:F26)</f>
        <v>42096</v>
      </c>
    </row>
    <row r="27" spans="1:7" x14ac:dyDescent="0.3">
      <c r="A27" t="s">
        <v>36</v>
      </c>
      <c r="C27">
        <v>0</v>
      </c>
      <c r="D27">
        <v>0</v>
      </c>
      <c r="E27">
        <v>0</v>
      </c>
      <c r="G27">
        <f>SUM(C27:F27)</f>
        <v>0</v>
      </c>
    </row>
    <row r="28" spans="1:7" x14ac:dyDescent="0.3">
      <c r="A28" t="s">
        <v>141</v>
      </c>
      <c r="C28">
        <v>0</v>
      </c>
      <c r="D28">
        <v>10</v>
      </c>
      <c r="E28">
        <v>0</v>
      </c>
      <c r="G28">
        <f>SUM(C28:F28)</f>
        <v>10</v>
      </c>
    </row>
    <row r="29" spans="1:7" x14ac:dyDescent="0.3">
      <c r="A29" t="s">
        <v>37</v>
      </c>
      <c r="C29">
        <v>3061</v>
      </c>
      <c r="D29" s="43">
        <v>37926</v>
      </c>
      <c r="E29">
        <v>0</v>
      </c>
      <c r="G29">
        <f>SUM(C29:F29)</f>
        <v>40987</v>
      </c>
    </row>
    <row r="30" spans="1:7" ht="15.6" x14ac:dyDescent="0.3">
      <c r="A30" s="25" t="s">
        <v>63</v>
      </c>
      <c r="B30" s="25"/>
      <c r="C30" s="25">
        <f>SUM(C26:C29)</f>
        <v>3849</v>
      </c>
      <c r="D30" s="61">
        <f>SUM(D26:D29)</f>
        <v>79244</v>
      </c>
      <c r="E30" s="25">
        <f>SUM(E26:E29)</f>
        <v>0</v>
      </c>
      <c r="F30" s="25"/>
      <c r="G30" s="25">
        <f>SUM(G26:G29)</f>
        <v>83093</v>
      </c>
    </row>
    <row r="32" spans="1:7" ht="15.6" x14ac:dyDescent="0.3">
      <c r="A32" s="26" t="s">
        <v>274</v>
      </c>
      <c r="B32" s="26"/>
      <c r="C32" s="24"/>
      <c r="D32" s="24"/>
      <c r="E32" s="24"/>
      <c r="F32" s="24"/>
    </row>
    <row r="33" spans="1:6" x14ac:dyDescent="0.3">
      <c r="A33" t="s">
        <v>35</v>
      </c>
      <c r="F33">
        <f>G26-G3</f>
        <v>-387</v>
      </c>
    </row>
    <row r="34" spans="1:6" x14ac:dyDescent="0.3">
      <c r="A34" t="s">
        <v>36</v>
      </c>
      <c r="F34">
        <f>G27-G4</f>
        <v>0</v>
      </c>
    </row>
    <row r="35" spans="1:6" x14ac:dyDescent="0.3">
      <c r="A35" t="s">
        <v>37</v>
      </c>
      <c r="F35">
        <f>G29-G6</f>
        <v>-92</v>
      </c>
    </row>
    <row r="36" spans="1:6" ht="15.6" x14ac:dyDescent="0.3">
      <c r="A36" s="25" t="s">
        <v>34</v>
      </c>
      <c r="B36" s="25"/>
      <c r="C36" s="25"/>
      <c r="D36" s="25"/>
      <c r="E36" s="25"/>
      <c r="F36" s="25">
        <f>SUM(F33:F35)</f>
        <v>-479</v>
      </c>
    </row>
    <row r="38" spans="1:6" x14ac:dyDescent="0.3">
      <c r="A38" t="s">
        <v>46</v>
      </c>
    </row>
    <row r="39" spans="1:6" x14ac:dyDescent="0.3">
      <c r="A39" t="s">
        <v>47</v>
      </c>
    </row>
    <row r="40" spans="1:6" x14ac:dyDescent="0.3">
      <c r="A40" t="s">
        <v>48</v>
      </c>
    </row>
    <row r="41" spans="1:6" x14ac:dyDescent="0.3">
      <c r="A41" t="s">
        <v>49</v>
      </c>
    </row>
    <row r="42" spans="1:6" x14ac:dyDescent="0.3">
      <c r="A42" t="s">
        <v>50</v>
      </c>
    </row>
    <row r="43" spans="1:6" x14ac:dyDescent="0.3">
      <c r="A43" t="s">
        <v>114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Planilha44"/>
  <dimension ref="A1:G43"/>
  <sheetViews>
    <sheetView topLeftCell="A13" workbookViewId="0"/>
  </sheetViews>
  <sheetFormatPr defaultRowHeight="14.4" x14ac:dyDescent="0.3"/>
  <sheetData>
    <row r="1" spans="1:7" x14ac:dyDescent="0.3">
      <c r="A1" s="24" t="s">
        <v>269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>
        <v>788</v>
      </c>
      <c r="D3" s="43">
        <v>41308</v>
      </c>
      <c r="E3">
        <v>0</v>
      </c>
      <c r="G3">
        <f>SUM(C3:F3)</f>
        <v>42096</v>
      </c>
    </row>
    <row r="4" spans="1:7" x14ac:dyDescent="0.3">
      <c r="A4" t="s">
        <v>36</v>
      </c>
      <c r="C4">
        <v>0</v>
      </c>
      <c r="D4">
        <v>0</v>
      </c>
      <c r="E4">
        <v>0</v>
      </c>
      <c r="G4">
        <f>SUM(C4:F4)</f>
        <v>0</v>
      </c>
    </row>
    <row r="5" spans="1:7" x14ac:dyDescent="0.3">
      <c r="A5" t="s">
        <v>141</v>
      </c>
      <c r="C5">
        <v>0</v>
      </c>
      <c r="D5">
        <v>10</v>
      </c>
      <c r="E5">
        <v>0</v>
      </c>
      <c r="G5">
        <f>SUM(C5:F5)</f>
        <v>10</v>
      </c>
    </row>
    <row r="6" spans="1:7" x14ac:dyDescent="0.3">
      <c r="A6" t="s">
        <v>37</v>
      </c>
      <c r="C6">
        <v>3061</v>
      </c>
      <c r="D6" s="43">
        <v>37926</v>
      </c>
      <c r="E6">
        <v>0</v>
      </c>
      <c r="G6">
        <f>SUM(C6:F6)</f>
        <v>40987</v>
      </c>
    </row>
    <row r="7" spans="1:7" ht="15.6" x14ac:dyDescent="0.3">
      <c r="A7" s="25" t="s">
        <v>63</v>
      </c>
      <c r="B7" s="25"/>
      <c r="C7" s="25">
        <f>SUM(C3:C6)</f>
        <v>3849</v>
      </c>
      <c r="D7" s="61">
        <f>SUM(D3:D6)</f>
        <v>79244</v>
      </c>
      <c r="E7" s="25">
        <f>SUM(E3:E6)</f>
        <v>0</v>
      </c>
      <c r="F7" s="25"/>
      <c r="G7" s="25">
        <f>SUM(G3:G6)</f>
        <v>83093</v>
      </c>
    </row>
    <row r="8" spans="1:7" ht="15.6" x14ac:dyDescent="0.3">
      <c r="A8" s="25"/>
      <c r="B8" s="25"/>
      <c r="C8" s="25"/>
      <c r="D8" s="61"/>
      <c r="E8" s="25"/>
      <c r="F8" s="25"/>
      <c r="G8" s="25"/>
    </row>
    <row r="9" spans="1:7" x14ac:dyDescent="0.3">
      <c r="A9" s="24" t="s">
        <v>270</v>
      </c>
      <c r="B9" s="24"/>
      <c r="C9" s="24"/>
      <c r="D9" s="24"/>
      <c r="E9" s="24"/>
      <c r="F9" s="24"/>
      <c r="G9" s="24"/>
    </row>
    <row r="10" spans="1:7" x14ac:dyDescent="0.3">
      <c r="C10" t="s">
        <v>57</v>
      </c>
      <c r="D10" t="s">
        <v>33</v>
      </c>
      <c r="G10" t="s">
        <v>56</v>
      </c>
    </row>
    <row r="11" spans="1:7" x14ac:dyDescent="0.3">
      <c r="A11" t="s">
        <v>35</v>
      </c>
      <c r="C11">
        <v>0</v>
      </c>
      <c r="D11" s="69">
        <v>30</v>
      </c>
      <c r="G11">
        <f>SUM(C11:E11)</f>
        <v>30</v>
      </c>
    </row>
    <row r="12" spans="1:7" x14ac:dyDescent="0.3">
      <c r="A12" t="s">
        <v>53</v>
      </c>
      <c r="C12">
        <v>0</v>
      </c>
      <c r="D12" s="43">
        <v>0</v>
      </c>
      <c r="G12">
        <f>SUM(C12:E12)</f>
        <v>0</v>
      </c>
    </row>
    <row r="13" spans="1:7" x14ac:dyDescent="0.3">
      <c r="A13" t="s">
        <v>140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54</v>
      </c>
      <c r="C14">
        <v>0</v>
      </c>
      <c r="D14" s="43">
        <v>899</v>
      </c>
      <c r="G14">
        <f>SUM(C14:E14)</f>
        <v>899</v>
      </c>
    </row>
    <row r="15" spans="1:7" ht="15.6" x14ac:dyDescent="0.3">
      <c r="A15" s="25" t="s">
        <v>55</v>
      </c>
      <c r="B15" s="25"/>
      <c r="C15" s="25">
        <f>SUM(C11:C14)</f>
        <v>0</v>
      </c>
      <c r="D15" s="25">
        <f>SUM(D11:D14)</f>
        <v>929</v>
      </c>
      <c r="E15" s="25"/>
      <c r="F15" s="25"/>
      <c r="G15" s="25">
        <f>SUM(G11:G14)</f>
        <v>929</v>
      </c>
    </row>
    <row r="17" spans="1:7" x14ac:dyDescent="0.3">
      <c r="A17" s="29" t="s">
        <v>271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113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0</v>
      </c>
      <c r="C19" s="43">
        <v>166</v>
      </c>
      <c r="D19" s="43">
        <v>12</v>
      </c>
      <c r="E19" s="43">
        <v>430</v>
      </c>
      <c r="F19" s="43">
        <v>0</v>
      </c>
      <c r="G19">
        <f>SUM(B19:F19)</f>
        <v>608</v>
      </c>
    </row>
    <row r="20" spans="1:7" x14ac:dyDescent="0.3">
      <c r="A20" t="s">
        <v>36</v>
      </c>
      <c r="B20">
        <v>0</v>
      </c>
      <c r="C20" s="43">
        <v>0</v>
      </c>
      <c r="D20" s="43">
        <v>0</v>
      </c>
      <c r="E20" s="43">
        <v>0</v>
      </c>
      <c r="F20" s="43">
        <v>0</v>
      </c>
      <c r="G20">
        <f>SUM(B20:F20)</f>
        <v>0</v>
      </c>
    </row>
    <row r="21" spans="1:7" x14ac:dyDescent="0.3">
      <c r="A21" t="s">
        <v>37</v>
      </c>
      <c r="B21">
        <v>0</v>
      </c>
      <c r="C21" s="43">
        <v>691</v>
      </c>
      <c r="D21" s="43">
        <v>69</v>
      </c>
      <c r="E21" s="43">
        <v>122</v>
      </c>
      <c r="F21" s="43">
        <v>8</v>
      </c>
      <c r="G21">
        <f>SUM(B21:F21)</f>
        <v>890</v>
      </c>
    </row>
    <row r="22" spans="1:7" ht="15.6" x14ac:dyDescent="0.3">
      <c r="A22" t="s">
        <v>34</v>
      </c>
      <c r="C22" s="25">
        <f>SUM(C19:C21)</f>
        <v>857</v>
      </c>
      <c r="D22" s="25">
        <f>SUM(D19:D21)</f>
        <v>81</v>
      </c>
      <c r="E22" s="25">
        <f>SUM(E19:E21)</f>
        <v>552</v>
      </c>
      <c r="F22" s="61">
        <f>SUM(F19:F21)</f>
        <v>8</v>
      </c>
      <c r="G22" s="25">
        <f>SUM(C22:F22)</f>
        <v>1498</v>
      </c>
    </row>
    <row r="24" spans="1:7" x14ac:dyDescent="0.3">
      <c r="A24" s="24" t="s">
        <v>272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617</v>
      </c>
      <c r="D26" s="43">
        <v>40901</v>
      </c>
      <c r="E26">
        <v>0</v>
      </c>
      <c r="G26">
        <f>SUM(C26:F26)</f>
        <v>41518</v>
      </c>
    </row>
    <row r="27" spans="1:7" x14ac:dyDescent="0.3">
      <c r="A27" t="s">
        <v>36</v>
      </c>
      <c r="C27">
        <v>0</v>
      </c>
      <c r="D27">
        <v>0</v>
      </c>
      <c r="E27">
        <v>0</v>
      </c>
      <c r="G27">
        <f>SUM(C27:F27)</f>
        <v>0</v>
      </c>
    </row>
    <row r="28" spans="1:7" x14ac:dyDescent="0.3">
      <c r="A28" t="s">
        <v>141</v>
      </c>
      <c r="C28">
        <v>0</v>
      </c>
      <c r="D28">
        <v>10</v>
      </c>
      <c r="E28">
        <v>0</v>
      </c>
      <c r="G28">
        <f>SUM(C28:F28)</f>
        <v>10</v>
      </c>
    </row>
    <row r="29" spans="1:7" x14ac:dyDescent="0.3">
      <c r="A29" t="s">
        <v>37</v>
      </c>
      <c r="C29">
        <v>2302</v>
      </c>
      <c r="D29" s="43">
        <v>38694</v>
      </c>
      <c r="E29">
        <v>0</v>
      </c>
      <c r="G29">
        <f>SUM(C29:F29)</f>
        <v>40996</v>
      </c>
    </row>
    <row r="30" spans="1:7" ht="15.6" x14ac:dyDescent="0.3">
      <c r="A30" s="25" t="s">
        <v>63</v>
      </c>
      <c r="B30" s="25"/>
      <c r="C30" s="25">
        <f>SUM(C26:C29)</f>
        <v>2919</v>
      </c>
      <c r="D30" s="61">
        <f>SUM(D26:D29)</f>
        <v>79605</v>
      </c>
      <c r="E30" s="25">
        <f>SUM(E26:E29)</f>
        <v>0</v>
      </c>
      <c r="F30" s="25"/>
      <c r="G30" s="25">
        <f>SUM(G26:G29)</f>
        <v>82524</v>
      </c>
    </row>
    <row r="32" spans="1:7" ht="15.6" x14ac:dyDescent="0.3">
      <c r="A32" s="26" t="s">
        <v>273</v>
      </c>
      <c r="B32" s="26"/>
      <c r="C32" s="24"/>
      <c r="D32" s="24"/>
      <c r="E32" s="24"/>
      <c r="F32" s="24"/>
    </row>
    <row r="33" spans="1:6" x14ac:dyDescent="0.3">
      <c r="A33" t="s">
        <v>35</v>
      </c>
      <c r="F33">
        <f>G26-G3</f>
        <v>-578</v>
      </c>
    </row>
    <row r="34" spans="1:6" x14ac:dyDescent="0.3">
      <c r="A34" t="s">
        <v>36</v>
      </c>
      <c r="F34">
        <f>G27-G4</f>
        <v>0</v>
      </c>
    </row>
    <row r="35" spans="1:6" x14ac:dyDescent="0.3">
      <c r="A35" t="s">
        <v>37</v>
      </c>
      <c r="F35">
        <f>G29-G6</f>
        <v>9</v>
      </c>
    </row>
    <row r="36" spans="1:6" ht="15.6" x14ac:dyDescent="0.3">
      <c r="A36" s="25" t="s">
        <v>34</v>
      </c>
      <c r="B36" s="25"/>
      <c r="C36" s="25"/>
      <c r="D36" s="25"/>
      <c r="E36" s="25"/>
      <c r="F36" s="25">
        <f>SUM(F33:F35)</f>
        <v>-569</v>
      </c>
    </row>
    <row r="38" spans="1:6" x14ac:dyDescent="0.3">
      <c r="A38" t="s">
        <v>46</v>
      </c>
    </row>
    <row r="39" spans="1:6" x14ac:dyDescent="0.3">
      <c r="A39" t="s">
        <v>47</v>
      </c>
    </row>
    <row r="40" spans="1:6" x14ac:dyDescent="0.3">
      <c r="A40" t="s">
        <v>48</v>
      </c>
    </row>
    <row r="41" spans="1:6" x14ac:dyDescent="0.3">
      <c r="A41" t="s">
        <v>49</v>
      </c>
    </row>
    <row r="42" spans="1:6" x14ac:dyDescent="0.3">
      <c r="A42" t="s">
        <v>50</v>
      </c>
    </row>
    <row r="43" spans="1:6" x14ac:dyDescent="0.3">
      <c r="A43" t="s">
        <v>114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Planilha45"/>
  <dimension ref="A1:G44"/>
  <sheetViews>
    <sheetView topLeftCell="A13" workbookViewId="0"/>
  </sheetViews>
  <sheetFormatPr defaultRowHeight="14.4" x14ac:dyDescent="0.3"/>
  <sheetData>
    <row r="1" spans="1:7" x14ac:dyDescent="0.3">
      <c r="A1" s="24" t="s">
        <v>272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>
        <v>617</v>
      </c>
      <c r="D3" s="43">
        <v>40901</v>
      </c>
      <c r="E3">
        <v>0</v>
      </c>
      <c r="G3">
        <f>SUM(C3:F3)</f>
        <v>41518</v>
      </c>
    </row>
    <row r="4" spans="1:7" x14ac:dyDescent="0.3">
      <c r="A4" t="s">
        <v>36</v>
      </c>
      <c r="C4">
        <v>0</v>
      </c>
      <c r="D4">
        <v>0</v>
      </c>
      <c r="E4">
        <v>0</v>
      </c>
      <c r="G4">
        <f>SUM(C4:F4)</f>
        <v>0</v>
      </c>
    </row>
    <row r="5" spans="1:7" x14ac:dyDescent="0.3">
      <c r="A5" t="s">
        <v>141</v>
      </c>
      <c r="C5">
        <v>0</v>
      </c>
      <c r="D5">
        <v>10</v>
      </c>
      <c r="E5">
        <v>0</v>
      </c>
      <c r="G5">
        <f>SUM(C5:F5)</f>
        <v>10</v>
      </c>
    </row>
    <row r="6" spans="1:7" x14ac:dyDescent="0.3">
      <c r="A6" t="s">
        <v>37</v>
      </c>
      <c r="C6">
        <v>2302</v>
      </c>
      <c r="D6" s="43">
        <v>38694</v>
      </c>
      <c r="E6">
        <v>0</v>
      </c>
      <c r="G6">
        <f>SUM(C6:F6)</f>
        <v>40996</v>
      </c>
    </row>
    <row r="7" spans="1:7" ht="15.6" x14ac:dyDescent="0.3">
      <c r="A7" s="25" t="s">
        <v>63</v>
      </c>
      <c r="B7" s="25"/>
      <c r="C7" s="25">
        <f>SUM(C3:C6)</f>
        <v>2919</v>
      </c>
      <c r="D7" s="61">
        <f>SUM(D3:D6)</f>
        <v>79605</v>
      </c>
      <c r="E7" s="25">
        <f>SUM(E3:E6)</f>
        <v>0</v>
      </c>
      <c r="F7" s="25"/>
      <c r="G7" s="25">
        <f>SUM(G3:G6)</f>
        <v>82524</v>
      </c>
    </row>
    <row r="9" spans="1:7" x14ac:dyDescent="0.3">
      <c r="A9" s="24" t="s">
        <v>275</v>
      </c>
      <c r="B9" s="24"/>
      <c r="C9" s="24"/>
      <c r="D9" s="24"/>
      <c r="E9" s="24"/>
      <c r="F9" s="24"/>
      <c r="G9" s="24"/>
    </row>
    <row r="10" spans="1:7" x14ac:dyDescent="0.3">
      <c r="C10" t="s">
        <v>57</v>
      </c>
      <c r="D10" t="s">
        <v>33</v>
      </c>
      <c r="G10" t="s">
        <v>56</v>
      </c>
    </row>
    <row r="11" spans="1:7" x14ac:dyDescent="0.3">
      <c r="A11" t="s">
        <v>35</v>
      </c>
      <c r="C11">
        <v>0</v>
      </c>
      <c r="D11" s="69">
        <v>21</v>
      </c>
      <c r="G11">
        <f>SUM(C11:E11)</f>
        <v>21</v>
      </c>
    </row>
    <row r="12" spans="1:7" x14ac:dyDescent="0.3">
      <c r="A12" t="s">
        <v>53</v>
      </c>
      <c r="C12">
        <v>0</v>
      </c>
      <c r="D12" s="43">
        <v>0</v>
      </c>
      <c r="G12">
        <f>SUM(C12:E12)</f>
        <v>0</v>
      </c>
    </row>
    <row r="13" spans="1:7" x14ac:dyDescent="0.3">
      <c r="A13" t="s">
        <v>140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54</v>
      </c>
      <c r="C14">
        <v>0</v>
      </c>
      <c r="D14" s="43">
        <v>830</v>
      </c>
      <c r="G14">
        <f>SUM(C14:E14)</f>
        <v>830</v>
      </c>
    </row>
    <row r="15" spans="1:7" ht="15.6" x14ac:dyDescent="0.3">
      <c r="A15" s="25" t="s">
        <v>55</v>
      </c>
      <c r="B15" s="25"/>
      <c r="C15" s="25">
        <f>SUM(C11:C14)</f>
        <v>0</v>
      </c>
      <c r="D15" s="25">
        <f>SUM(D11:D14)</f>
        <v>851</v>
      </c>
      <c r="E15" s="25"/>
      <c r="F15" s="25"/>
      <c r="G15" s="25">
        <f>SUM(G11:G14)</f>
        <v>851</v>
      </c>
    </row>
    <row r="17" spans="1:7" x14ac:dyDescent="0.3">
      <c r="A17" s="29" t="s">
        <v>276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113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0</v>
      </c>
      <c r="C19" s="43">
        <v>176</v>
      </c>
      <c r="D19" s="43">
        <v>2</v>
      </c>
      <c r="E19" s="43">
        <v>382</v>
      </c>
      <c r="F19" s="43">
        <v>5</v>
      </c>
      <c r="G19">
        <f>SUM(B19:F19)</f>
        <v>565</v>
      </c>
    </row>
    <row r="20" spans="1:7" x14ac:dyDescent="0.3">
      <c r="A20" t="s">
        <v>36</v>
      </c>
      <c r="B20">
        <v>0</v>
      </c>
      <c r="C20" s="43">
        <v>0</v>
      </c>
      <c r="D20" s="43">
        <v>0</v>
      </c>
      <c r="E20" s="43">
        <v>0</v>
      </c>
      <c r="F20" s="43">
        <v>0</v>
      </c>
      <c r="G20">
        <f>SUM(B20:F20)</f>
        <v>0</v>
      </c>
    </row>
    <row r="21" spans="1:7" x14ac:dyDescent="0.3">
      <c r="A21" t="s">
        <v>37</v>
      </c>
      <c r="B21">
        <v>0</v>
      </c>
      <c r="C21" s="43">
        <v>676</v>
      </c>
      <c r="D21" s="43">
        <v>94</v>
      </c>
      <c r="E21" s="43">
        <v>198</v>
      </c>
      <c r="F21" s="43">
        <v>13</v>
      </c>
      <c r="G21">
        <f>SUM(B21:F21)</f>
        <v>981</v>
      </c>
    </row>
    <row r="22" spans="1:7" ht="15.6" x14ac:dyDescent="0.3">
      <c r="A22" t="s">
        <v>34</v>
      </c>
      <c r="C22" s="25">
        <f>SUM(C19:C21)</f>
        <v>852</v>
      </c>
      <c r="D22" s="25">
        <f>SUM(D19:D21)</f>
        <v>96</v>
      </c>
      <c r="E22" s="25">
        <f>SUM(E19:E21)</f>
        <v>580</v>
      </c>
      <c r="F22" s="61">
        <f>SUM(F19:F21)</f>
        <v>18</v>
      </c>
      <c r="G22" s="25">
        <f>SUM(C22:F22)</f>
        <v>1546</v>
      </c>
    </row>
    <row r="24" spans="1:7" x14ac:dyDescent="0.3">
      <c r="A24" s="24" t="s">
        <v>277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873</v>
      </c>
      <c r="D26" s="43">
        <v>40101</v>
      </c>
      <c r="E26">
        <v>0</v>
      </c>
      <c r="G26">
        <f>SUM(C26:F26)</f>
        <v>40974</v>
      </c>
    </row>
    <row r="27" spans="1:7" x14ac:dyDescent="0.3">
      <c r="A27" t="s">
        <v>36</v>
      </c>
      <c r="C27">
        <v>0</v>
      </c>
      <c r="D27">
        <v>0</v>
      </c>
      <c r="E27">
        <v>0</v>
      </c>
      <c r="G27">
        <f>SUM(C27:F27)</f>
        <v>0</v>
      </c>
    </row>
    <row r="28" spans="1:7" x14ac:dyDescent="0.3">
      <c r="A28" t="s">
        <v>141</v>
      </c>
      <c r="C28">
        <v>0</v>
      </c>
      <c r="D28">
        <v>10</v>
      </c>
      <c r="E28">
        <v>0</v>
      </c>
      <c r="G28">
        <f>SUM(C28:F28)</f>
        <v>10</v>
      </c>
    </row>
    <row r="29" spans="1:7" x14ac:dyDescent="0.3">
      <c r="A29" t="s">
        <v>37</v>
      </c>
      <c r="C29">
        <v>1644</v>
      </c>
      <c r="D29" s="43">
        <v>39201</v>
      </c>
      <c r="E29">
        <v>0</v>
      </c>
      <c r="G29">
        <f>SUM(C29:F29)</f>
        <v>40845</v>
      </c>
    </row>
    <row r="30" spans="1:7" ht="15.6" x14ac:dyDescent="0.3">
      <c r="A30" s="25" t="s">
        <v>63</v>
      </c>
      <c r="B30" s="25"/>
      <c r="C30" s="25">
        <f>SUM(C26:C29)</f>
        <v>2517</v>
      </c>
      <c r="D30" s="61">
        <f>SUM(D26:D29)</f>
        <v>79312</v>
      </c>
      <c r="E30" s="25">
        <f>SUM(E26:E29)</f>
        <v>0</v>
      </c>
      <c r="F30" s="25"/>
      <c r="G30" s="25">
        <f>SUM(G26:G29)</f>
        <v>81829</v>
      </c>
    </row>
    <row r="32" spans="1:7" ht="15.6" x14ac:dyDescent="0.3">
      <c r="A32" s="26" t="s">
        <v>278</v>
      </c>
      <c r="B32" s="26"/>
      <c r="C32" s="24"/>
      <c r="D32" s="24"/>
      <c r="E32" s="24"/>
      <c r="F32" s="24"/>
    </row>
    <row r="33" spans="1:6" x14ac:dyDescent="0.3">
      <c r="A33" t="s">
        <v>35</v>
      </c>
      <c r="F33">
        <f>G27-G4</f>
        <v>0</v>
      </c>
    </row>
    <row r="34" spans="1:6" x14ac:dyDescent="0.3">
      <c r="A34" t="s">
        <v>36</v>
      </c>
      <c r="F34">
        <f>G28-G5</f>
        <v>0</v>
      </c>
    </row>
    <row r="35" spans="1:6" x14ac:dyDescent="0.3">
      <c r="A35" t="s">
        <v>37</v>
      </c>
      <c r="F35">
        <f>G30-G7</f>
        <v>-695</v>
      </c>
    </row>
    <row r="36" spans="1:6" ht="15.6" x14ac:dyDescent="0.3">
      <c r="A36" s="25" t="s">
        <v>34</v>
      </c>
      <c r="B36" s="25"/>
      <c r="C36" s="25"/>
      <c r="D36" s="25"/>
      <c r="E36" s="25"/>
      <c r="F36" s="25">
        <f>SUM(F33:F35)</f>
        <v>-695</v>
      </c>
    </row>
    <row r="39" spans="1:6" x14ac:dyDescent="0.3">
      <c r="A39" t="s">
        <v>46</v>
      </c>
    </row>
    <row r="40" spans="1:6" x14ac:dyDescent="0.3">
      <c r="A40" t="s">
        <v>47</v>
      </c>
    </row>
    <row r="41" spans="1:6" x14ac:dyDescent="0.3">
      <c r="A41" t="s">
        <v>48</v>
      </c>
    </row>
    <row r="42" spans="1:6" x14ac:dyDescent="0.3">
      <c r="A42" t="s">
        <v>49</v>
      </c>
    </row>
    <row r="43" spans="1:6" x14ac:dyDescent="0.3">
      <c r="A43" t="s">
        <v>50</v>
      </c>
    </row>
    <row r="44" spans="1:6" x14ac:dyDescent="0.3">
      <c r="A44" t="s">
        <v>114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Planilha46"/>
  <dimension ref="A1:G43"/>
  <sheetViews>
    <sheetView topLeftCell="A10" workbookViewId="0"/>
  </sheetViews>
  <sheetFormatPr defaultRowHeight="14.4" x14ac:dyDescent="0.3"/>
  <sheetData>
    <row r="1" spans="1:7" x14ac:dyDescent="0.3">
      <c r="A1" s="24" t="s">
        <v>282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>
        <v>873</v>
      </c>
      <c r="D3" s="43">
        <v>40101</v>
      </c>
      <c r="E3">
        <v>0</v>
      </c>
      <c r="G3">
        <f>SUM(C3:F3)</f>
        <v>40974</v>
      </c>
    </row>
    <row r="4" spans="1:7" x14ac:dyDescent="0.3">
      <c r="A4" t="s">
        <v>36</v>
      </c>
      <c r="C4">
        <v>0</v>
      </c>
      <c r="D4">
        <v>0</v>
      </c>
      <c r="E4">
        <v>0</v>
      </c>
      <c r="G4">
        <f>SUM(C4:F4)</f>
        <v>0</v>
      </c>
    </row>
    <row r="5" spans="1:7" x14ac:dyDescent="0.3">
      <c r="A5" t="s">
        <v>141</v>
      </c>
      <c r="C5">
        <v>0</v>
      </c>
      <c r="D5">
        <v>10</v>
      </c>
      <c r="E5">
        <v>0</v>
      </c>
      <c r="G5">
        <f>SUM(C5:F5)</f>
        <v>10</v>
      </c>
    </row>
    <row r="6" spans="1:7" x14ac:dyDescent="0.3">
      <c r="A6" t="s">
        <v>37</v>
      </c>
      <c r="C6">
        <v>1644</v>
      </c>
      <c r="D6" s="43">
        <v>39201</v>
      </c>
      <c r="E6">
        <v>0</v>
      </c>
      <c r="G6">
        <f>SUM(C6:F6)</f>
        <v>40845</v>
      </c>
    </row>
    <row r="7" spans="1:7" ht="15.6" x14ac:dyDescent="0.3">
      <c r="A7" s="25" t="s">
        <v>63</v>
      </c>
      <c r="B7" s="25"/>
      <c r="C7" s="25">
        <f>SUM(C3:C6)</f>
        <v>2517</v>
      </c>
      <c r="D7" s="61">
        <f>SUM(D3:D6)</f>
        <v>79312</v>
      </c>
      <c r="E7" s="25">
        <f>SUM(E3:E6)</f>
        <v>0</v>
      </c>
      <c r="F7" s="25"/>
      <c r="G7" s="25">
        <f>SUM(G3:G6)</f>
        <v>81829</v>
      </c>
    </row>
    <row r="8" spans="1:7" ht="15.6" x14ac:dyDescent="0.3">
      <c r="A8" s="25"/>
      <c r="B8" s="25"/>
      <c r="C8" s="25"/>
      <c r="D8" s="61"/>
      <c r="E8" s="25"/>
      <c r="F8" s="25"/>
      <c r="G8" s="25"/>
    </row>
    <row r="9" spans="1:7" x14ac:dyDescent="0.3">
      <c r="A9" s="24" t="s">
        <v>279</v>
      </c>
      <c r="B9" s="24"/>
      <c r="C9" s="24"/>
      <c r="D9" s="24"/>
      <c r="E9" s="24"/>
      <c r="F9" s="24"/>
      <c r="G9" s="24"/>
    </row>
    <row r="10" spans="1:7" x14ac:dyDescent="0.3">
      <c r="C10" t="s">
        <v>57</v>
      </c>
      <c r="D10" t="s">
        <v>33</v>
      </c>
      <c r="G10" t="s">
        <v>56</v>
      </c>
    </row>
    <row r="11" spans="1:7" x14ac:dyDescent="0.3">
      <c r="A11" t="s">
        <v>35</v>
      </c>
      <c r="C11">
        <v>0</v>
      </c>
      <c r="D11" s="69">
        <v>9</v>
      </c>
      <c r="G11">
        <f>SUM(C11:E11)</f>
        <v>9</v>
      </c>
    </row>
    <row r="12" spans="1:7" x14ac:dyDescent="0.3">
      <c r="A12" t="s">
        <v>53</v>
      </c>
      <c r="C12">
        <v>0</v>
      </c>
      <c r="D12" s="43">
        <v>0</v>
      </c>
      <c r="G12">
        <f>SUM(C12:E12)</f>
        <v>0</v>
      </c>
    </row>
    <row r="13" spans="1:7" x14ac:dyDescent="0.3">
      <c r="A13" t="s">
        <v>140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54</v>
      </c>
      <c r="C14">
        <v>0</v>
      </c>
      <c r="D14" s="43">
        <v>906</v>
      </c>
      <c r="G14">
        <f>SUM(C14:E14)</f>
        <v>906</v>
      </c>
    </row>
    <row r="15" spans="1:7" ht="15.6" x14ac:dyDescent="0.3">
      <c r="A15" s="25" t="s">
        <v>55</v>
      </c>
      <c r="B15" s="25"/>
      <c r="C15" s="25">
        <f>SUM(C11:C14)</f>
        <v>0</v>
      </c>
      <c r="D15" s="25">
        <f>SUM(D11:D14)</f>
        <v>915</v>
      </c>
      <c r="E15" s="25"/>
      <c r="F15" s="25"/>
      <c r="G15" s="25">
        <f>SUM(G11:G14)</f>
        <v>915</v>
      </c>
    </row>
    <row r="17" spans="1:7" x14ac:dyDescent="0.3">
      <c r="A17" s="29" t="s">
        <v>281</v>
      </c>
      <c r="B17" s="29"/>
      <c r="C17" s="29"/>
      <c r="D17" s="29"/>
      <c r="E17" s="29"/>
      <c r="F17" s="29"/>
      <c r="G17" s="29"/>
    </row>
    <row r="18" spans="1:7" x14ac:dyDescent="0.3">
      <c r="A18" t="s">
        <v>39</v>
      </c>
      <c r="B18" t="s">
        <v>113</v>
      </c>
      <c r="C18" t="s">
        <v>41</v>
      </c>
      <c r="D18" t="s">
        <v>42</v>
      </c>
      <c r="E18" t="s">
        <v>43</v>
      </c>
      <c r="F18" t="s">
        <v>58</v>
      </c>
      <c r="G18" t="s">
        <v>34</v>
      </c>
    </row>
    <row r="19" spans="1:7" x14ac:dyDescent="0.3">
      <c r="A19" t="s">
        <v>35</v>
      </c>
      <c r="B19">
        <v>0</v>
      </c>
      <c r="C19" s="43">
        <v>261</v>
      </c>
      <c r="D19" s="43">
        <v>1</v>
      </c>
      <c r="E19" s="43">
        <v>472</v>
      </c>
      <c r="F19" s="43">
        <v>1</v>
      </c>
      <c r="G19">
        <f>SUM(B19:F19)</f>
        <v>735</v>
      </c>
    </row>
    <row r="20" spans="1:7" x14ac:dyDescent="0.3">
      <c r="A20" t="s">
        <v>36</v>
      </c>
      <c r="B20">
        <v>0</v>
      </c>
      <c r="C20" s="43">
        <v>0</v>
      </c>
      <c r="D20" s="43">
        <v>0</v>
      </c>
      <c r="E20" s="43">
        <v>0</v>
      </c>
      <c r="F20" s="43">
        <v>0</v>
      </c>
      <c r="G20">
        <f>SUM(B20:F20)</f>
        <v>0</v>
      </c>
    </row>
    <row r="21" spans="1:7" x14ac:dyDescent="0.3">
      <c r="A21" t="s">
        <v>37</v>
      </c>
      <c r="B21">
        <v>0</v>
      </c>
      <c r="C21" s="43">
        <v>485</v>
      </c>
      <c r="D21" s="43">
        <v>69</v>
      </c>
      <c r="E21" s="43">
        <v>142</v>
      </c>
      <c r="F21" s="43">
        <v>11</v>
      </c>
      <c r="G21">
        <f>SUM(B21:F21)</f>
        <v>707</v>
      </c>
    </row>
    <row r="22" spans="1:7" ht="15.6" x14ac:dyDescent="0.3">
      <c r="A22" t="s">
        <v>34</v>
      </c>
      <c r="C22" s="25">
        <f>SUM(C19:C21)</f>
        <v>746</v>
      </c>
      <c r="D22" s="25">
        <f>SUM(D19:D21)</f>
        <v>70</v>
      </c>
      <c r="E22" s="25">
        <f>SUM(E19:E21)</f>
        <v>614</v>
      </c>
      <c r="F22" s="61">
        <f>SUM(F19:F21)</f>
        <v>12</v>
      </c>
      <c r="G22" s="25">
        <f>SUM(C22:F22)</f>
        <v>1442</v>
      </c>
    </row>
    <row r="24" spans="1:7" x14ac:dyDescent="0.3">
      <c r="A24" s="24" t="s">
        <v>280</v>
      </c>
      <c r="B24" s="24"/>
      <c r="C24" s="24"/>
      <c r="D24" s="24"/>
      <c r="E24" s="24"/>
      <c r="F24" s="24"/>
    </row>
    <row r="25" spans="1:7" x14ac:dyDescent="0.3">
      <c r="C25" t="s">
        <v>32</v>
      </c>
      <c r="D25" t="s">
        <v>33</v>
      </c>
      <c r="E25" t="s">
        <v>87</v>
      </c>
      <c r="G25" t="s">
        <v>55</v>
      </c>
    </row>
    <row r="26" spans="1:7" x14ac:dyDescent="0.3">
      <c r="A26" t="s">
        <v>35</v>
      </c>
      <c r="C26">
        <v>1239</v>
      </c>
      <c r="D26" s="43">
        <v>39008</v>
      </c>
      <c r="E26">
        <v>0</v>
      </c>
      <c r="G26">
        <f>SUM(C26:F26)</f>
        <v>40247</v>
      </c>
    </row>
    <row r="27" spans="1:7" x14ac:dyDescent="0.3">
      <c r="A27" t="s">
        <v>36</v>
      </c>
      <c r="C27">
        <v>0</v>
      </c>
      <c r="D27">
        <v>0</v>
      </c>
      <c r="E27">
        <v>0</v>
      </c>
      <c r="G27">
        <f>SUM(C27:F27)</f>
        <v>0</v>
      </c>
    </row>
    <row r="28" spans="1:7" x14ac:dyDescent="0.3">
      <c r="A28" t="s">
        <v>141</v>
      </c>
      <c r="C28">
        <v>0</v>
      </c>
      <c r="D28">
        <v>10</v>
      </c>
      <c r="E28">
        <v>0</v>
      </c>
      <c r="G28">
        <f>SUM(C28:F28)</f>
        <v>10</v>
      </c>
    </row>
    <row r="29" spans="1:7" x14ac:dyDescent="0.3">
      <c r="A29" t="s">
        <v>37</v>
      </c>
      <c r="C29">
        <v>1806</v>
      </c>
      <c r="D29" s="43">
        <v>39239</v>
      </c>
      <c r="E29">
        <v>0</v>
      </c>
      <c r="G29">
        <f>SUM(C29:F29)</f>
        <v>41045</v>
      </c>
    </row>
    <row r="30" spans="1:7" ht="15.6" x14ac:dyDescent="0.3">
      <c r="A30" s="25" t="s">
        <v>63</v>
      </c>
      <c r="B30" s="25"/>
      <c r="C30" s="25">
        <f>SUM(C26:C29)</f>
        <v>3045</v>
      </c>
      <c r="D30" s="61">
        <f>SUM(D26:D29)</f>
        <v>78257</v>
      </c>
      <c r="E30" s="25">
        <f>SUM(E26:E29)</f>
        <v>0</v>
      </c>
      <c r="F30" s="25"/>
      <c r="G30" s="25">
        <f>SUM(G26:G29)</f>
        <v>81302</v>
      </c>
    </row>
    <row r="32" spans="1:7" ht="15.6" x14ac:dyDescent="0.3">
      <c r="A32" s="26" t="s">
        <v>285</v>
      </c>
      <c r="B32" s="26"/>
      <c r="C32" s="24"/>
      <c r="D32" s="24"/>
      <c r="E32" s="24"/>
      <c r="F32" s="24"/>
    </row>
    <row r="33" spans="1:6" x14ac:dyDescent="0.3">
      <c r="A33" t="s">
        <v>35</v>
      </c>
      <c r="F33">
        <f>G26-G3</f>
        <v>-727</v>
      </c>
    </row>
    <row r="34" spans="1:6" x14ac:dyDescent="0.3">
      <c r="A34" t="s">
        <v>36</v>
      </c>
      <c r="F34">
        <f>G27-G4</f>
        <v>0</v>
      </c>
    </row>
    <row r="35" spans="1:6" x14ac:dyDescent="0.3">
      <c r="A35" t="s">
        <v>37</v>
      </c>
      <c r="F35">
        <f>G29-G6</f>
        <v>200</v>
      </c>
    </row>
    <row r="36" spans="1:6" ht="15.6" x14ac:dyDescent="0.3">
      <c r="A36" s="25" t="s">
        <v>34</v>
      </c>
      <c r="B36" s="25"/>
      <c r="C36" s="25"/>
      <c r="D36" s="25"/>
      <c r="E36" s="25"/>
      <c r="F36" s="25">
        <f>SUM(F33:F35)</f>
        <v>-527</v>
      </c>
    </row>
    <row r="38" spans="1:6" x14ac:dyDescent="0.3">
      <c r="A38" t="s">
        <v>46</v>
      </c>
    </row>
    <row r="39" spans="1:6" x14ac:dyDescent="0.3">
      <c r="A39" t="s">
        <v>47</v>
      </c>
    </row>
    <row r="40" spans="1:6" x14ac:dyDescent="0.3">
      <c r="A40" t="s">
        <v>48</v>
      </c>
    </row>
    <row r="41" spans="1:6" x14ac:dyDescent="0.3">
      <c r="A41" t="s">
        <v>49</v>
      </c>
    </row>
    <row r="42" spans="1:6" x14ac:dyDescent="0.3">
      <c r="A42" t="s">
        <v>50</v>
      </c>
    </row>
    <row r="43" spans="1:6" x14ac:dyDescent="0.3">
      <c r="A43" t="s">
        <v>114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Planilha47"/>
  <dimension ref="A1:G44"/>
  <sheetViews>
    <sheetView workbookViewId="0"/>
  </sheetViews>
  <sheetFormatPr defaultRowHeight="14.4" x14ac:dyDescent="0.3"/>
  <cols>
    <col min="6" max="6" width="10" customWidth="1"/>
  </cols>
  <sheetData>
    <row r="1" spans="1:7" x14ac:dyDescent="0.3">
      <c r="A1" s="24" t="s">
        <v>280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>
        <v>1239</v>
      </c>
      <c r="D3" s="43">
        <v>39008</v>
      </c>
      <c r="E3">
        <v>0</v>
      </c>
      <c r="G3">
        <f>SUM(C3:F3)</f>
        <v>40247</v>
      </c>
    </row>
    <row r="4" spans="1:7" x14ac:dyDescent="0.3">
      <c r="A4" t="s">
        <v>36</v>
      </c>
      <c r="C4">
        <v>0</v>
      </c>
      <c r="D4">
        <v>0</v>
      </c>
      <c r="E4">
        <v>0</v>
      </c>
      <c r="G4">
        <f>SUM(C4:F4)</f>
        <v>0</v>
      </c>
    </row>
    <row r="5" spans="1:7" x14ac:dyDescent="0.3">
      <c r="A5" t="s">
        <v>141</v>
      </c>
      <c r="C5">
        <v>0</v>
      </c>
      <c r="D5">
        <v>10</v>
      </c>
      <c r="E5">
        <v>0</v>
      </c>
      <c r="G5">
        <f>SUM(C5:F5)</f>
        <v>10</v>
      </c>
    </row>
    <row r="6" spans="1:7" x14ac:dyDescent="0.3">
      <c r="A6" t="s">
        <v>37</v>
      </c>
      <c r="C6">
        <v>1806</v>
      </c>
      <c r="D6" s="43">
        <v>39239</v>
      </c>
      <c r="E6">
        <v>0</v>
      </c>
      <c r="G6">
        <f>SUM(C6:F6)</f>
        <v>41045</v>
      </c>
    </row>
    <row r="7" spans="1:7" ht="15.6" x14ac:dyDescent="0.3">
      <c r="A7" s="25" t="s">
        <v>63</v>
      </c>
      <c r="B7" s="25"/>
      <c r="C7" s="25">
        <f>SUM(C3:C6)</f>
        <v>3045</v>
      </c>
      <c r="D7" s="61">
        <f>SUM(D3:D6)</f>
        <v>78257</v>
      </c>
      <c r="E7" s="25">
        <f>SUM(E3:E6)</f>
        <v>0</v>
      </c>
      <c r="F7" s="25"/>
      <c r="G7" s="25">
        <f>SUM(G3:G6)</f>
        <v>81302</v>
      </c>
    </row>
    <row r="9" spans="1:7" ht="15.6" x14ac:dyDescent="0.3">
      <c r="A9" s="25"/>
      <c r="B9" s="25"/>
      <c r="C9" s="25"/>
      <c r="D9" s="61"/>
      <c r="E9" s="25"/>
      <c r="F9" s="25"/>
      <c r="G9" s="25"/>
    </row>
    <row r="10" spans="1:7" x14ac:dyDescent="0.3">
      <c r="A10" s="24" t="s">
        <v>283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>
        <v>0</v>
      </c>
      <c r="D12" s="69">
        <v>169</v>
      </c>
      <c r="G12">
        <f>SUM(C12:E12)</f>
        <v>169</v>
      </c>
    </row>
    <row r="13" spans="1:7" x14ac:dyDescent="0.3">
      <c r="A13" t="s">
        <v>53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140</v>
      </c>
      <c r="C14">
        <v>0</v>
      </c>
      <c r="D14" s="43">
        <v>0</v>
      </c>
      <c r="G14">
        <f>SUM(C14:E14)</f>
        <v>0</v>
      </c>
    </row>
    <row r="15" spans="1:7" x14ac:dyDescent="0.3">
      <c r="A15" t="s">
        <v>54</v>
      </c>
      <c r="C15">
        <v>0</v>
      </c>
      <c r="D15" s="43">
        <v>978</v>
      </c>
      <c r="G15">
        <f>SUM(C15:E15)</f>
        <v>978</v>
      </c>
    </row>
    <row r="16" spans="1:7" ht="15.6" x14ac:dyDescent="0.3">
      <c r="A16" s="25" t="s">
        <v>55</v>
      </c>
      <c r="B16" s="25"/>
      <c r="C16" s="25">
        <f>SUM(C12:C15)</f>
        <v>0</v>
      </c>
      <c r="D16" s="25">
        <f>SUM(D12:D15)</f>
        <v>1147</v>
      </c>
      <c r="E16" s="25"/>
      <c r="F16" s="25"/>
      <c r="G16" s="25">
        <f>SUM(G12:G15)</f>
        <v>1147</v>
      </c>
    </row>
    <row r="18" spans="1:7" x14ac:dyDescent="0.3">
      <c r="A18" s="29" t="s">
        <v>290</v>
      </c>
      <c r="B18" s="29"/>
      <c r="C18" s="29"/>
      <c r="D18" s="29"/>
      <c r="E18" s="29"/>
      <c r="F18" s="29"/>
      <c r="G18" s="29"/>
    </row>
    <row r="19" spans="1:7" x14ac:dyDescent="0.3">
      <c r="A19" t="s">
        <v>39</v>
      </c>
      <c r="B19" t="s">
        <v>113</v>
      </c>
      <c r="C19" t="s">
        <v>41</v>
      </c>
      <c r="D19" t="s">
        <v>42</v>
      </c>
      <c r="E19" t="s">
        <v>43</v>
      </c>
      <c r="F19" t="s">
        <v>58</v>
      </c>
      <c r="G19" t="s">
        <v>34</v>
      </c>
    </row>
    <row r="20" spans="1:7" x14ac:dyDescent="0.3">
      <c r="A20" t="s">
        <v>35</v>
      </c>
      <c r="B20">
        <v>0</v>
      </c>
      <c r="C20" s="43">
        <v>151</v>
      </c>
      <c r="D20" s="43">
        <v>0</v>
      </c>
      <c r="E20" s="43">
        <v>102</v>
      </c>
      <c r="F20" s="43">
        <v>1</v>
      </c>
      <c r="G20">
        <f>SUM(B20:F20)</f>
        <v>254</v>
      </c>
    </row>
    <row r="21" spans="1:7" x14ac:dyDescent="0.3">
      <c r="A21" t="s">
        <v>36</v>
      </c>
      <c r="B21">
        <v>0</v>
      </c>
      <c r="C21" s="43">
        <v>0</v>
      </c>
      <c r="D21" s="43">
        <v>0</v>
      </c>
      <c r="E21" s="43">
        <v>0</v>
      </c>
      <c r="F21" s="43">
        <v>0</v>
      </c>
      <c r="G21">
        <f>SUM(B21:F21)</f>
        <v>0</v>
      </c>
    </row>
    <row r="22" spans="1:7" x14ac:dyDescent="0.3">
      <c r="A22" t="s">
        <v>37</v>
      </c>
      <c r="B22">
        <v>0</v>
      </c>
      <c r="C22" s="43">
        <v>700</v>
      </c>
      <c r="D22" s="43">
        <v>2</v>
      </c>
      <c r="E22" s="43">
        <v>109</v>
      </c>
      <c r="F22" s="43">
        <v>6</v>
      </c>
      <c r="G22">
        <f>SUM(B22:F22)</f>
        <v>817</v>
      </c>
    </row>
    <row r="23" spans="1:7" ht="15.6" x14ac:dyDescent="0.3">
      <c r="A23" t="s">
        <v>34</v>
      </c>
      <c r="C23" s="25">
        <f>SUM(C20:C22)</f>
        <v>851</v>
      </c>
      <c r="D23" s="25">
        <f>SUM(D20:D22)</f>
        <v>2</v>
      </c>
      <c r="E23" s="25">
        <f>SUM(E20:E22)</f>
        <v>211</v>
      </c>
      <c r="F23" s="61">
        <f>SUM(F20:F22)</f>
        <v>7</v>
      </c>
      <c r="G23" s="25">
        <f>SUM(C23:F23)</f>
        <v>1071</v>
      </c>
    </row>
    <row r="25" spans="1:7" x14ac:dyDescent="0.3">
      <c r="A25" s="24" t="s">
        <v>284</v>
      </c>
      <c r="B25" s="24"/>
      <c r="C25" s="24"/>
      <c r="D25" s="24"/>
      <c r="E25" s="24"/>
      <c r="F25" s="24"/>
    </row>
    <row r="26" spans="1:7" x14ac:dyDescent="0.3">
      <c r="C26" t="s">
        <v>32</v>
      </c>
      <c r="D26" t="s">
        <v>33</v>
      </c>
      <c r="E26" t="s">
        <v>87</v>
      </c>
      <c r="G26" t="s">
        <v>55</v>
      </c>
    </row>
    <row r="27" spans="1:7" x14ac:dyDescent="0.3">
      <c r="A27" t="s">
        <v>35</v>
      </c>
      <c r="C27">
        <v>1677</v>
      </c>
      <c r="D27" s="43">
        <v>38485</v>
      </c>
      <c r="E27">
        <v>0</v>
      </c>
      <c r="G27">
        <f>SUM(C27:F27)</f>
        <v>40162</v>
      </c>
    </row>
    <row r="28" spans="1:7" x14ac:dyDescent="0.3">
      <c r="A28" t="s">
        <v>36</v>
      </c>
      <c r="C28">
        <v>0</v>
      </c>
      <c r="D28">
        <v>0</v>
      </c>
      <c r="E28">
        <v>0</v>
      </c>
      <c r="G28">
        <f>SUM(C28:F28)</f>
        <v>0</v>
      </c>
    </row>
    <row r="29" spans="1:7" x14ac:dyDescent="0.3">
      <c r="A29" t="s">
        <v>141</v>
      </c>
      <c r="C29">
        <v>0</v>
      </c>
      <c r="D29">
        <v>10</v>
      </c>
      <c r="E29">
        <v>0</v>
      </c>
      <c r="G29">
        <f>SUM(C29:F29)</f>
        <v>10</v>
      </c>
    </row>
    <row r="30" spans="1:7" x14ac:dyDescent="0.3">
      <c r="A30" t="s">
        <v>37</v>
      </c>
      <c r="C30">
        <v>2145</v>
      </c>
      <c r="D30" s="43">
        <v>39091</v>
      </c>
      <c r="E30">
        <v>0</v>
      </c>
      <c r="G30">
        <f>SUM(C30:F30)</f>
        <v>41236</v>
      </c>
    </row>
    <row r="31" spans="1:7" ht="15.6" x14ac:dyDescent="0.3">
      <c r="A31" s="25" t="s">
        <v>63</v>
      </c>
      <c r="B31" s="25"/>
      <c r="C31" s="25">
        <f>SUM(C27:C30)</f>
        <v>3822</v>
      </c>
      <c r="D31" s="61">
        <f>SUM(D27:D30)</f>
        <v>77586</v>
      </c>
      <c r="E31" s="25">
        <f>SUM(E27:E30)</f>
        <v>0</v>
      </c>
      <c r="F31" s="25"/>
      <c r="G31" s="25">
        <f>SUM(G27:G30)</f>
        <v>81408</v>
      </c>
    </row>
    <row r="33" spans="1:6" ht="15.6" x14ac:dyDescent="0.3">
      <c r="A33" s="26" t="s">
        <v>286</v>
      </c>
      <c r="B33" s="26"/>
      <c r="C33" s="24"/>
      <c r="D33" s="24"/>
      <c r="E33" s="24"/>
      <c r="F33" s="24"/>
    </row>
    <row r="34" spans="1:6" x14ac:dyDescent="0.3">
      <c r="A34" t="s">
        <v>35</v>
      </c>
      <c r="F34">
        <f>G27-G3</f>
        <v>-85</v>
      </c>
    </row>
    <row r="35" spans="1:6" x14ac:dyDescent="0.3">
      <c r="A35" t="s">
        <v>36</v>
      </c>
      <c r="F35">
        <f>G28-G4</f>
        <v>0</v>
      </c>
    </row>
    <row r="36" spans="1:6" x14ac:dyDescent="0.3">
      <c r="A36" t="s">
        <v>37</v>
      </c>
      <c r="F36">
        <f>G30-G6</f>
        <v>191</v>
      </c>
    </row>
    <row r="37" spans="1:6" ht="15.6" x14ac:dyDescent="0.3">
      <c r="A37" s="25" t="s">
        <v>34</v>
      </c>
      <c r="B37" s="25"/>
      <c r="C37" s="25"/>
      <c r="D37" s="25"/>
      <c r="E37" s="25"/>
      <c r="F37" s="25">
        <f>SUM(F34:F36)</f>
        <v>106</v>
      </c>
    </row>
    <row r="39" spans="1:6" x14ac:dyDescent="0.3">
      <c r="A39" t="s">
        <v>46</v>
      </c>
    </row>
    <row r="40" spans="1:6" x14ac:dyDescent="0.3">
      <c r="A40" t="s">
        <v>47</v>
      </c>
    </row>
    <row r="41" spans="1:6" x14ac:dyDescent="0.3">
      <c r="A41" t="s">
        <v>48</v>
      </c>
    </row>
    <row r="42" spans="1:6" x14ac:dyDescent="0.3">
      <c r="A42" t="s">
        <v>49</v>
      </c>
    </row>
    <row r="43" spans="1:6" x14ac:dyDescent="0.3">
      <c r="A43" t="s">
        <v>50</v>
      </c>
    </row>
    <row r="44" spans="1:6" x14ac:dyDescent="0.3">
      <c r="A44" t="s">
        <v>114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Planilha48"/>
  <dimension ref="A1:G44"/>
  <sheetViews>
    <sheetView topLeftCell="A4" workbookViewId="0"/>
  </sheetViews>
  <sheetFormatPr defaultRowHeight="14.4" x14ac:dyDescent="0.3"/>
  <sheetData>
    <row r="1" spans="1:7" x14ac:dyDescent="0.3">
      <c r="A1" s="24" t="s">
        <v>284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>
        <v>1677</v>
      </c>
      <c r="D3" s="43">
        <v>38485</v>
      </c>
      <c r="E3">
        <v>0</v>
      </c>
      <c r="G3">
        <f>SUM(C3:F3)</f>
        <v>40162</v>
      </c>
    </row>
    <row r="4" spans="1:7" x14ac:dyDescent="0.3">
      <c r="A4" t="s">
        <v>36</v>
      </c>
      <c r="C4">
        <v>0</v>
      </c>
      <c r="D4">
        <v>0</v>
      </c>
      <c r="E4">
        <v>0</v>
      </c>
      <c r="G4">
        <f>SUM(C4:F4)</f>
        <v>0</v>
      </c>
    </row>
    <row r="5" spans="1:7" x14ac:dyDescent="0.3">
      <c r="A5" t="s">
        <v>141</v>
      </c>
      <c r="C5">
        <v>0</v>
      </c>
      <c r="D5">
        <v>10</v>
      </c>
      <c r="E5">
        <v>0</v>
      </c>
      <c r="G5">
        <f>SUM(C5:F5)</f>
        <v>10</v>
      </c>
    </row>
    <row r="6" spans="1:7" x14ac:dyDescent="0.3">
      <c r="A6" t="s">
        <v>37</v>
      </c>
      <c r="C6">
        <v>2145</v>
      </c>
      <c r="D6" s="43">
        <v>39091</v>
      </c>
      <c r="E6">
        <v>0</v>
      </c>
      <c r="G6">
        <f>SUM(C6:F6)</f>
        <v>41236</v>
      </c>
    </row>
    <row r="7" spans="1:7" ht="15.6" x14ac:dyDescent="0.3">
      <c r="A7" s="25" t="s">
        <v>63</v>
      </c>
      <c r="B7" s="25"/>
      <c r="C7" s="25">
        <f>SUM(C3:C6)</f>
        <v>3822</v>
      </c>
      <c r="D7" s="61">
        <f>SUM(D3:D6)</f>
        <v>77586</v>
      </c>
      <c r="E7" s="25">
        <f>SUM(E3:E6)</f>
        <v>0</v>
      </c>
      <c r="F7" s="25"/>
      <c r="G7" s="25">
        <f>SUM(G3:G6)</f>
        <v>81408</v>
      </c>
    </row>
    <row r="9" spans="1:7" ht="15.6" x14ac:dyDescent="0.3">
      <c r="A9" s="25"/>
      <c r="B9" s="25"/>
      <c r="C9" s="25"/>
      <c r="D9" s="61"/>
      <c r="E9" s="25"/>
      <c r="F9" s="25"/>
      <c r="G9" s="25"/>
    </row>
    <row r="10" spans="1:7" x14ac:dyDescent="0.3">
      <c r="A10" s="24" t="s">
        <v>287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>
        <v>0</v>
      </c>
      <c r="D12" s="69">
        <v>458</v>
      </c>
      <c r="G12">
        <f>SUM(C12:E12)</f>
        <v>458</v>
      </c>
    </row>
    <row r="13" spans="1:7" x14ac:dyDescent="0.3">
      <c r="A13" t="s">
        <v>53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140</v>
      </c>
      <c r="C14">
        <v>0</v>
      </c>
      <c r="D14" s="43">
        <v>0</v>
      </c>
      <c r="G14">
        <f>SUM(C14:E14)</f>
        <v>0</v>
      </c>
    </row>
    <row r="15" spans="1:7" x14ac:dyDescent="0.3">
      <c r="A15" t="s">
        <v>54</v>
      </c>
      <c r="C15">
        <v>0</v>
      </c>
      <c r="D15" s="43">
        <v>1023</v>
      </c>
      <c r="G15">
        <f>SUM(C15:E15)</f>
        <v>1023</v>
      </c>
    </row>
    <row r="16" spans="1:7" ht="15.6" x14ac:dyDescent="0.3">
      <c r="A16" s="25" t="s">
        <v>55</v>
      </c>
      <c r="B16" s="25"/>
      <c r="C16" s="25">
        <f>SUM(C12:C15)</f>
        <v>0</v>
      </c>
      <c r="D16" s="25">
        <f>SUM(D12:D15)</f>
        <v>1481</v>
      </c>
      <c r="E16" s="25"/>
      <c r="F16" s="25"/>
      <c r="G16" s="25">
        <f>SUM(G12:G15)</f>
        <v>1481</v>
      </c>
    </row>
    <row r="18" spans="1:7" x14ac:dyDescent="0.3">
      <c r="A18" s="29" t="s">
        <v>288</v>
      </c>
      <c r="B18" s="29"/>
      <c r="C18" s="29"/>
      <c r="D18" s="29"/>
      <c r="E18" s="29"/>
      <c r="F18" s="29"/>
      <c r="G18" s="29"/>
    </row>
    <row r="19" spans="1:7" x14ac:dyDescent="0.3">
      <c r="A19" t="s">
        <v>39</v>
      </c>
      <c r="B19" t="s">
        <v>113</v>
      </c>
      <c r="C19" t="s">
        <v>41</v>
      </c>
      <c r="D19" t="s">
        <v>42</v>
      </c>
      <c r="E19" t="s">
        <v>43</v>
      </c>
      <c r="F19" t="s">
        <v>58</v>
      </c>
      <c r="G19" t="s">
        <v>34</v>
      </c>
    </row>
    <row r="20" spans="1:7" x14ac:dyDescent="0.3">
      <c r="A20" t="s">
        <v>35</v>
      </c>
      <c r="B20">
        <v>0</v>
      </c>
      <c r="C20" s="43">
        <v>407</v>
      </c>
      <c r="D20" s="43">
        <v>0</v>
      </c>
      <c r="E20" s="43">
        <v>135</v>
      </c>
      <c r="F20" s="43">
        <v>0</v>
      </c>
      <c r="G20">
        <f>SUM(B20:F20)</f>
        <v>542</v>
      </c>
    </row>
    <row r="21" spans="1:7" x14ac:dyDescent="0.3">
      <c r="A21" t="s">
        <v>36</v>
      </c>
      <c r="B21">
        <v>0</v>
      </c>
      <c r="C21" s="43">
        <v>0</v>
      </c>
      <c r="D21" s="43">
        <v>0</v>
      </c>
      <c r="E21" s="43">
        <v>0</v>
      </c>
      <c r="F21" s="43">
        <v>0</v>
      </c>
      <c r="G21">
        <f>SUM(B21:F21)</f>
        <v>0</v>
      </c>
    </row>
    <row r="22" spans="1:7" x14ac:dyDescent="0.3">
      <c r="A22" t="s">
        <v>37</v>
      </c>
      <c r="B22">
        <v>0</v>
      </c>
      <c r="C22" s="43">
        <v>595</v>
      </c>
      <c r="D22" s="43">
        <v>16</v>
      </c>
      <c r="E22" s="43">
        <v>104</v>
      </c>
      <c r="F22" s="43">
        <v>9</v>
      </c>
      <c r="G22">
        <f>SUM(B22:F22)</f>
        <v>724</v>
      </c>
    </row>
    <row r="23" spans="1:7" ht="15.6" x14ac:dyDescent="0.3">
      <c r="A23" t="s">
        <v>34</v>
      </c>
      <c r="C23" s="25">
        <f>SUM(C20:C22)</f>
        <v>1002</v>
      </c>
      <c r="D23" s="25">
        <f>SUM(D20:D22)</f>
        <v>16</v>
      </c>
      <c r="E23" s="25">
        <f>SUM(E20:E22)</f>
        <v>239</v>
      </c>
      <c r="F23" s="61">
        <f>SUM(F20:F22)</f>
        <v>9</v>
      </c>
      <c r="G23" s="25">
        <f>SUM(C23:F23)</f>
        <v>1266</v>
      </c>
    </row>
    <row r="25" spans="1:7" x14ac:dyDescent="0.3">
      <c r="A25" s="24" t="s">
        <v>289</v>
      </c>
      <c r="B25" s="24"/>
      <c r="C25" s="24"/>
      <c r="D25" s="24"/>
      <c r="E25" s="24"/>
      <c r="F25" s="24"/>
    </row>
    <row r="26" spans="1:7" x14ac:dyDescent="0.3">
      <c r="C26" t="s">
        <v>32</v>
      </c>
      <c r="D26" t="s">
        <v>33</v>
      </c>
      <c r="E26" t="s">
        <v>87</v>
      </c>
      <c r="G26" t="s">
        <v>55</v>
      </c>
    </row>
    <row r="27" spans="1:7" x14ac:dyDescent="0.3">
      <c r="A27" t="s">
        <v>35</v>
      </c>
      <c r="C27">
        <v>1833</v>
      </c>
      <c r="D27" s="43">
        <v>38245</v>
      </c>
      <c r="E27">
        <v>0</v>
      </c>
      <c r="G27">
        <f>SUM(C27:F27)</f>
        <v>40078</v>
      </c>
    </row>
    <row r="28" spans="1:7" x14ac:dyDescent="0.3">
      <c r="A28" t="s">
        <v>36</v>
      </c>
      <c r="C28">
        <v>0</v>
      </c>
      <c r="D28">
        <v>0</v>
      </c>
      <c r="E28">
        <v>0</v>
      </c>
      <c r="G28">
        <f>SUM(C28:F28)</f>
        <v>0</v>
      </c>
    </row>
    <row r="29" spans="1:7" x14ac:dyDescent="0.3">
      <c r="A29" t="s">
        <v>141</v>
      </c>
      <c r="C29">
        <v>0</v>
      </c>
      <c r="D29">
        <v>10</v>
      </c>
      <c r="E29">
        <v>0</v>
      </c>
      <c r="G29">
        <f>SUM(C29:F29)</f>
        <v>10</v>
      </c>
    </row>
    <row r="30" spans="1:7" x14ac:dyDescent="0.3">
      <c r="A30" t="s">
        <v>37</v>
      </c>
      <c r="C30">
        <v>1916</v>
      </c>
      <c r="D30" s="43">
        <v>39619</v>
      </c>
      <c r="E30">
        <v>0</v>
      </c>
      <c r="G30">
        <f>SUM(C30:F30)</f>
        <v>41535</v>
      </c>
    </row>
    <row r="31" spans="1:7" ht="15.6" x14ac:dyDescent="0.3">
      <c r="A31" s="25" t="s">
        <v>63</v>
      </c>
      <c r="B31" s="25"/>
      <c r="C31" s="25">
        <f>SUM(C27:C30)</f>
        <v>3749</v>
      </c>
      <c r="D31" s="61">
        <f>SUM(D27:D30)</f>
        <v>77874</v>
      </c>
      <c r="E31" s="25">
        <f>SUM(E27:E30)</f>
        <v>0</v>
      </c>
      <c r="F31" s="25"/>
      <c r="G31" s="25">
        <f>SUM(G27:G30)</f>
        <v>81623</v>
      </c>
    </row>
    <row r="33" spans="1:6" ht="15.6" x14ac:dyDescent="0.3">
      <c r="A33" s="26" t="s">
        <v>291</v>
      </c>
      <c r="B33" s="26"/>
      <c r="C33" s="24"/>
      <c r="D33" s="24"/>
      <c r="E33" s="24"/>
      <c r="F33" s="24"/>
    </row>
    <row r="34" spans="1:6" x14ac:dyDescent="0.3">
      <c r="A34" t="s">
        <v>35</v>
      </c>
      <c r="F34">
        <f>G27-G3</f>
        <v>-84</v>
      </c>
    </row>
    <row r="35" spans="1:6" x14ac:dyDescent="0.3">
      <c r="A35" t="s">
        <v>36</v>
      </c>
      <c r="F35">
        <f>G28-G4</f>
        <v>0</v>
      </c>
    </row>
    <row r="36" spans="1:6" x14ac:dyDescent="0.3">
      <c r="A36" t="s">
        <v>37</v>
      </c>
      <c r="F36">
        <f>G30-G6</f>
        <v>299</v>
      </c>
    </row>
    <row r="37" spans="1:6" ht="15.6" x14ac:dyDescent="0.3">
      <c r="A37" s="25" t="s">
        <v>34</v>
      </c>
      <c r="B37" s="25"/>
      <c r="C37" s="25"/>
      <c r="D37" s="25"/>
      <c r="E37" s="25"/>
      <c r="F37" s="25">
        <f>SUM(F34:F36)</f>
        <v>215</v>
      </c>
    </row>
    <row r="39" spans="1:6" x14ac:dyDescent="0.3">
      <c r="A39" t="s">
        <v>46</v>
      </c>
    </row>
    <row r="40" spans="1:6" x14ac:dyDescent="0.3">
      <c r="A40" t="s">
        <v>47</v>
      </c>
    </row>
    <row r="41" spans="1:6" x14ac:dyDescent="0.3">
      <c r="A41" t="s">
        <v>48</v>
      </c>
    </row>
    <row r="42" spans="1:6" x14ac:dyDescent="0.3">
      <c r="A42" t="s">
        <v>49</v>
      </c>
    </row>
    <row r="43" spans="1:6" x14ac:dyDescent="0.3">
      <c r="A43" t="s">
        <v>50</v>
      </c>
    </row>
    <row r="44" spans="1:6" x14ac:dyDescent="0.3">
      <c r="A44" t="s">
        <v>114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Planilha49"/>
  <dimension ref="A1:G44"/>
  <sheetViews>
    <sheetView topLeftCell="A2" workbookViewId="0"/>
  </sheetViews>
  <sheetFormatPr defaultRowHeight="14.4" x14ac:dyDescent="0.3"/>
  <sheetData>
    <row r="1" spans="1:7" x14ac:dyDescent="0.3">
      <c r="A1" s="24" t="s">
        <v>289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>
        <v>1833</v>
      </c>
      <c r="D3" s="43">
        <v>38245</v>
      </c>
      <c r="E3">
        <v>0</v>
      </c>
      <c r="G3">
        <f>SUM(C3:F3)</f>
        <v>40078</v>
      </c>
    </row>
    <row r="4" spans="1:7" x14ac:dyDescent="0.3">
      <c r="A4" t="s">
        <v>36</v>
      </c>
      <c r="C4">
        <v>0</v>
      </c>
      <c r="D4">
        <v>0</v>
      </c>
      <c r="E4">
        <v>0</v>
      </c>
      <c r="G4">
        <f>SUM(C4:F4)</f>
        <v>0</v>
      </c>
    </row>
    <row r="5" spans="1:7" x14ac:dyDescent="0.3">
      <c r="A5" t="s">
        <v>141</v>
      </c>
      <c r="C5">
        <v>0</v>
      </c>
      <c r="D5">
        <v>10</v>
      </c>
      <c r="E5">
        <v>0</v>
      </c>
      <c r="G5">
        <f>SUM(C5:F5)</f>
        <v>10</v>
      </c>
    </row>
    <row r="6" spans="1:7" x14ac:dyDescent="0.3">
      <c r="A6" t="s">
        <v>37</v>
      </c>
      <c r="C6">
        <v>1916</v>
      </c>
      <c r="D6" s="43">
        <v>39619</v>
      </c>
      <c r="E6">
        <v>0</v>
      </c>
      <c r="G6">
        <f>SUM(C6:F6)</f>
        <v>41535</v>
      </c>
    </row>
    <row r="7" spans="1:7" ht="15.6" x14ac:dyDescent="0.3">
      <c r="A7" s="25" t="s">
        <v>63</v>
      </c>
      <c r="B7" s="25"/>
      <c r="C7" s="25">
        <f>SUM(C3:C6)</f>
        <v>3749</v>
      </c>
      <c r="D7" s="61">
        <f>SUM(D3:D6)</f>
        <v>77874</v>
      </c>
      <c r="E7" s="25">
        <f>SUM(E3:E6)</f>
        <v>0</v>
      </c>
      <c r="F7" s="25"/>
      <c r="G7" s="25">
        <f>SUM(G3:G6)</f>
        <v>81623</v>
      </c>
    </row>
    <row r="9" spans="1:7" ht="15.6" x14ac:dyDescent="0.3">
      <c r="A9" s="25"/>
      <c r="B9" s="25"/>
      <c r="C9" s="25"/>
      <c r="D9" s="61"/>
      <c r="E9" s="25"/>
      <c r="F9" s="25"/>
      <c r="G9" s="25"/>
    </row>
    <row r="10" spans="1:7" x14ac:dyDescent="0.3">
      <c r="A10" s="24" t="s">
        <v>294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>
        <v>0</v>
      </c>
      <c r="D12" s="69">
        <v>149</v>
      </c>
      <c r="G12">
        <f>SUM(C12:E12)</f>
        <v>149</v>
      </c>
    </row>
    <row r="13" spans="1:7" x14ac:dyDescent="0.3">
      <c r="A13" t="s">
        <v>53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140</v>
      </c>
      <c r="C14">
        <v>0</v>
      </c>
      <c r="D14" s="43">
        <v>0</v>
      </c>
      <c r="G14">
        <f>SUM(C14:E14)</f>
        <v>0</v>
      </c>
    </row>
    <row r="15" spans="1:7" x14ac:dyDescent="0.3">
      <c r="A15" t="s">
        <v>54</v>
      </c>
      <c r="C15">
        <v>0</v>
      </c>
      <c r="D15" s="43">
        <v>10</v>
      </c>
      <c r="G15">
        <f>SUM(C15:E15)</f>
        <v>10</v>
      </c>
    </row>
    <row r="16" spans="1:7" ht="15.6" x14ac:dyDescent="0.3">
      <c r="A16" s="25" t="s">
        <v>55</v>
      </c>
      <c r="B16" s="25"/>
      <c r="C16" s="25">
        <f>SUM(C12:C15)</f>
        <v>0</v>
      </c>
      <c r="D16" s="25">
        <f>SUM(D12:D15)</f>
        <v>159</v>
      </c>
      <c r="E16" s="25"/>
      <c r="F16" s="25"/>
      <c r="G16" s="25">
        <f>SUM(G12:G15)</f>
        <v>159</v>
      </c>
    </row>
    <row r="18" spans="1:7" x14ac:dyDescent="0.3">
      <c r="A18" s="29" t="s">
        <v>293</v>
      </c>
      <c r="B18" s="29"/>
      <c r="C18" s="29"/>
      <c r="D18" s="29"/>
      <c r="E18" s="29"/>
      <c r="F18" s="29"/>
      <c r="G18" s="29"/>
    </row>
    <row r="19" spans="1:7" x14ac:dyDescent="0.3">
      <c r="A19" t="s">
        <v>39</v>
      </c>
      <c r="B19" t="s">
        <v>113</v>
      </c>
      <c r="C19" t="s">
        <v>41</v>
      </c>
      <c r="D19" t="s">
        <v>42</v>
      </c>
      <c r="E19" t="s">
        <v>43</v>
      </c>
      <c r="F19" t="s">
        <v>58</v>
      </c>
      <c r="G19" t="s">
        <v>34</v>
      </c>
    </row>
    <row r="20" spans="1:7" x14ac:dyDescent="0.3">
      <c r="A20" t="s">
        <v>35</v>
      </c>
      <c r="B20">
        <v>0</v>
      </c>
      <c r="C20" s="43">
        <v>536</v>
      </c>
      <c r="D20" s="43">
        <v>45</v>
      </c>
      <c r="E20" s="43">
        <v>107</v>
      </c>
      <c r="F20" s="43">
        <v>4</v>
      </c>
      <c r="G20">
        <f>SUM(B20:F20)</f>
        <v>692</v>
      </c>
    </row>
    <row r="21" spans="1:7" x14ac:dyDescent="0.3">
      <c r="A21" t="s">
        <v>36</v>
      </c>
      <c r="B21">
        <v>0</v>
      </c>
      <c r="C21" s="43">
        <v>0</v>
      </c>
      <c r="D21" s="43">
        <v>0</v>
      </c>
      <c r="E21" s="43">
        <v>0</v>
      </c>
      <c r="F21" s="43">
        <v>0</v>
      </c>
      <c r="G21">
        <f>SUM(B21:F21)</f>
        <v>0</v>
      </c>
    </row>
    <row r="22" spans="1:7" x14ac:dyDescent="0.3">
      <c r="A22" t="s">
        <v>37</v>
      </c>
      <c r="B22">
        <v>0</v>
      </c>
      <c r="C22" s="43">
        <v>664</v>
      </c>
      <c r="D22" s="43">
        <v>124</v>
      </c>
      <c r="E22" s="43">
        <v>101</v>
      </c>
      <c r="F22" s="43">
        <v>669</v>
      </c>
      <c r="G22">
        <f>SUM(B22:F22)</f>
        <v>1558</v>
      </c>
    </row>
    <row r="23" spans="1:7" ht="15.6" x14ac:dyDescent="0.3">
      <c r="A23" t="s">
        <v>34</v>
      </c>
      <c r="C23" s="25">
        <f>SUM(C20:C22)</f>
        <v>1200</v>
      </c>
      <c r="D23" s="25">
        <f>SUM(D20:D22)</f>
        <v>169</v>
      </c>
      <c r="E23" s="25">
        <f>SUM(E20:E22)</f>
        <v>208</v>
      </c>
      <c r="F23" s="61">
        <f>SUM(F20:F22)</f>
        <v>673</v>
      </c>
      <c r="G23" s="25">
        <f>SUM(C23:F23)</f>
        <v>2250</v>
      </c>
    </row>
    <row r="25" spans="1:7" x14ac:dyDescent="0.3">
      <c r="A25" s="24" t="s">
        <v>292</v>
      </c>
      <c r="B25" s="24"/>
      <c r="C25" s="24"/>
      <c r="D25" s="24"/>
      <c r="E25" s="24"/>
      <c r="F25" s="24"/>
    </row>
    <row r="26" spans="1:7" x14ac:dyDescent="0.3">
      <c r="C26" t="s">
        <v>32</v>
      </c>
      <c r="D26" t="s">
        <v>33</v>
      </c>
      <c r="E26" t="s">
        <v>87</v>
      </c>
      <c r="G26" t="s">
        <v>55</v>
      </c>
    </row>
    <row r="27" spans="1:7" x14ac:dyDescent="0.3">
      <c r="A27" t="s">
        <v>35</v>
      </c>
      <c r="C27">
        <v>1438</v>
      </c>
      <c r="D27" s="43">
        <v>38098</v>
      </c>
      <c r="E27">
        <v>0</v>
      </c>
      <c r="G27">
        <f>SUM(C27:F27)</f>
        <v>39536</v>
      </c>
    </row>
    <row r="28" spans="1:7" x14ac:dyDescent="0.3">
      <c r="A28" t="s">
        <v>36</v>
      </c>
      <c r="C28">
        <v>0</v>
      </c>
      <c r="D28">
        <v>0</v>
      </c>
      <c r="E28">
        <v>0</v>
      </c>
      <c r="G28">
        <f>SUM(C28:F28)</f>
        <v>0</v>
      </c>
    </row>
    <row r="29" spans="1:7" x14ac:dyDescent="0.3">
      <c r="A29" t="s">
        <v>141</v>
      </c>
      <c r="C29">
        <v>0</v>
      </c>
      <c r="D29">
        <v>10</v>
      </c>
      <c r="E29">
        <v>0</v>
      </c>
      <c r="G29">
        <f>SUM(C29:F29)</f>
        <v>10</v>
      </c>
    </row>
    <row r="30" spans="1:7" x14ac:dyDescent="0.3">
      <c r="A30" t="s">
        <v>37</v>
      </c>
      <c r="C30">
        <v>2069</v>
      </c>
      <c r="D30" s="43">
        <v>38577</v>
      </c>
      <c r="E30">
        <v>0</v>
      </c>
      <c r="G30">
        <f>SUM(C30:F30)</f>
        <v>40646</v>
      </c>
    </row>
    <row r="31" spans="1:7" ht="15.6" x14ac:dyDescent="0.3">
      <c r="A31" s="25" t="s">
        <v>63</v>
      </c>
      <c r="B31" s="25"/>
      <c r="C31" s="25">
        <f>SUM(C27:C30)</f>
        <v>3507</v>
      </c>
      <c r="D31" s="61">
        <f>SUM(D27:D30)</f>
        <v>76685</v>
      </c>
      <c r="E31" s="25">
        <f>SUM(E27:E30)</f>
        <v>0</v>
      </c>
      <c r="F31" s="25"/>
      <c r="G31" s="25">
        <f>SUM(G27:G30)</f>
        <v>80192</v>
      </c>
    </row>
    <row r="33" spans="1:6" ht="15.6" x14ac:dyDescent="0.3">
      <c r="A33" s="26" t="s">
        <v>295</v>
      </c>
      <c r="B33" s="26"/>
      <c r="C33" s="24"/>
      <c r="D33" s="24"/>
      <c r="E33" s="24"/>
      <c r="F33" s="24"/>
    </row>
    <row r="34" spans="1:6" x14ac:dyDescent="0.3">
      <c r="A34" t="s">
        <v>35</v>
      </c>
      <c r="F34">
        <f>G27-G3</f>
        <v>-542</v>
      </c>
    </row>
    <row r="35" spans="1:6" x14ac:dyDescent="0.3">
      <c r="A35" t="s">
        <v>36</v>
      </c>
      <c r="F35">
        <f>G28-G4</f>
        <v>0</v>
      </c>
    </row>
    <row r="36" spans="1:6" x14ac:dyDescent="0.3">
      <c r="A36" t="s">
        <v>37</v>
      </c>
      <c r="F36">
        <f>G30-G6</f>
        <v>-889</v>
      </c>
    </row>
    <row r="37" spans="1:6" ht="15.6" x14ac:dyDescent="0.3">
      <c r="A37" s="25" t="s">
        <v>34</v>
      </c>
      <c r="B37" s="25"/>
      <c r="C37" s="25"/>
      <c r="D37" s="25"/>
      <c r="E37" s="25"/>
      <c r="F37" s="25">
        <f>SUM(F34:F36)</f>
        <v>-1431</v>
      </c>
    </row>
    <row r="39" spans="1:6" x14ac:dyDescent="0.3">
      <c r="A39" t="s">
        <v>46</v>
      </c>
    </row>
    <row r="40" spans="1:6" x14ac:dyDescent="0.3">
      <c r="A40" t="s">
        <v>47</v>
      </c>
    </row>
    <row r="41" spans="1:6" x14ac:dyDescent="0.3">
      <c r="A41" t="s">
        <v>48</v>
      </c>
    </row>
    <row r="42" spans="1:6" x14ac:dyDescent="0.3">
      <c r="A42" t="s">
        <v>49</v>
      </c>
    </row>
    <row r="43" spans="1:6" x14ac:dyDescent="0.3">
      <c r="A43" t="s">
        <v>50</v>
      </c>
    </row>
    <row r="44" spans="1:6" x14ac:dyDescent="0.3">
      <c r="A44" t="s">
        <v>114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Planilha50"/>
  <dimension ref="A1:G44"/>
  <sheetViews>
    <sheetView workbookViewId="0"/>
  </sheetViews>
  <sheetFormatPr defaultRowHeight="14.4" x14ac:dyDescent="0.3"/>
  <sheetData>
    <row r="1" spans="1:7" x14ac:dyDescent="0.3">
      <c r="A1" s="24" t="s">
        <v>292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>
        <v>1438</v>
      </c>
      <c r="D3" s="43">
        <v>38098</v>
      </c>
      <c r="E3">
        <v>0</v>
      </c>
      <c r="G3">
        <f>SUM(C3:F3)</f>
        <v>39536</v>
      </c>
    </row>
    <row r="4" spans="1:7" x14ac:dyDescent="0.3">
      <c r="A4" t="s">
        <v>36</v>
      </c>
      <c r="C4">
        <v>0</v>
      </c>
      <c r="D4">
        <v>0</v>
      </c>
      <c r="E4">
        <v>0</v>
      </c>
      <c r="G4">
        <f>SUM(C4:F4)</f>
        <v>0</v>
      </c>
    </row>
    <row r="5" spans="1:7" x14ac:dyDescent="0.3">
      <c r="A5" t="s">
        <v>141</v>
      </c>
      <c r="C5">
        <v>0</v>
      </c>
      <c r="D5">
        <v>10</v>
      </c>
      <c r="E5">
        <v>0</v>
      </c>
      <c r="G5">
        <f>SUM(C5:F5)</f>
        <v>10</v>
      </c>
    </row>
    <row r="6" spans="1:7" x14ac:dyDescent="0.3">
      <c r="A6" t="s">
        <v>37</v>
      </c>
      <c r="C6">
        <v>2069</v>
      </c>
      <c r="D6" s="43">
        <v>38577</v>
      </c>
      <c r="E6">
        <v>0</v>
      </c>
      <c r="G6">
        <f>SUM(C6:F6)</f>
        <v>40646</v>
      </c>
    </row>
    <row r="7" spans="1:7" ht="15.6" x14ac:dyDescent="0.3">
      <c r="A7" s="25" t="s">
        <v>63</v>
      </c>
      <c r="B7" s="25"/>
      <c r="C7" s="25">
        <f>SUM(C3:C6)</f>
        <v>3507</v>
      </c>
      <c r="D7" s="61">
        <f>SUM(D3:D6)</f>
        <v>76685</v>
      </c>
      <c r="E7" s="25">
        <f>SUM(E3:E6)</f>
        <v>0</v>
      </c>
      <c r="F7" s="25"/>
      <c r="G7" s="25">
        <f>SUM(G3:G6)</f>
        <v>80192</v>
      </c>
    </row>
    <row r="9" spans="1:7" ht="15.6" x14ac:dyDescent="0.3">
      <c r="A9" s="25"/>
      <c r="B9" s="25"/>
      <c r="C9" s="25"/>
      <c r="D9" s="61"/>
      <c r="E9" s="25"/>
      <c r="F9" s="25"/>
      <c r="G9" s="25"/>
    </row>
    <row r="10" spans="1:7" x14ac:dyDescent="0.3">
      <c r="A10" s="24" t="s">
        <v>296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>
        <v>0</v>
      </c>
      <c r="D12" s="120">
        <v>594</v>
      </c>
      <c r="G12">
        <f>SUM(C12:E12)</f>
        <v>594</v>
      </c>
    </row>
    <row r="13" spans="1:7" x14ac:dyDescent="0.3">
      <c r="A13" t="s">
        <v>53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140</v>
      </c>
      <c r="C14">
        <v>0</v>
      </c>
      <c r="D14" s="43">
        <v>0</v>
      </c>
      <c r="G14">
        <f>SUM(C14:E14)</f>
        <v>0</v>
      </c>
    </row>
    <row r="15" spans="1:7" x14ac:dyDescent="0.3">
      <c r="A15" t="s">
        <v>54</v>
      </c>
      <c r="C15">
        <v>0</v>
      </c>
      <c r="D15" s="120">
        <v>2058</v>
      </c>
      <c r="G15">
        <f>SUM(C15:E15)</f>
        <v>2058</v>
      </c>
    </row>
    <row r="16" spans="1:7" ht="15.6" x14ac:dyDescent="0.3">
      <c r="A16" s="25" t="s">
        <v>55</v>
      </c>
      <c r="B16" s="25"/>
      <c r="C16" s="25">
        <f>SUM(C12:C15)</f>
        <v>0</v>
      </c>
      <c r="D16" s="25">
        <f>SUM(D12:D15)</f>
        <v>2652</v>
      </c>
      <c r="E16" s="25"/>
      <c r="F16" s="25"/>
      <c r="G16" s="25">
        <f>SUM(G12:G15)</f>
        <v>2652</v>
      </c>
    </row>
    <row r="18" spans="1:7" x14ac:dyDescent="0.3">
      <c r="A18" s="29" t="s">
        <v>297</v>
      </c>
      <c r="B18" s="29"/>
      <c r="C18" s="29"/>
      <c r="D18" s="29"/>
      <c r="E18" s="29"/>
      <c r="F18" s="29"/>
      <c r="G18" s="29"/>
    </row>
    <row r="19" spans="1:7" x14ac:dyDescent="0.3">
      <c r="A19" t="s">
        <v>39</v>
      </c>
      <c r="B19" t="s">
        <v>113</v>
      </c>
      <c r="C19" t="s">
        <v>41</v>
      </c>
      <c r="D19" t="s">
        <v>42</v>
      </c>
      <c r="E19" t="s">
        <v>43</v>
      </c>
      <c r="F19" t="s">
        <v>58</v>
      </c>
      <c r="G19" t="s">
        <v>34</v>
      </c>
    </row>
    <row r="20" spans="1:7" x14ac:dyDescent="0.3">
      <c r="A20" t="s">
        <v>35</v>
      </c>
      <c r="B20">
        <v>0</v>
      </c>
      <c r="C20" s="43">
        <v>596</v>
      </c>
      <c r="D20" s="43">
        <v>0</v>
      </c>
      <c r="E20" s="43">
        <v>252</v>
      </c>
      <c r="F20" s="43">
        <v>2</v>
      </c>
      <c r="G20">
        <f>SUM(B20:F20)</f>
        <v>850</v>
      </c>
    </row>
    <row r="21" spans="1:7" x14ac:dyDescent="0.3">
      <c r="A21" t="s">
        <v>36</v>
      </c>
      <c r="B21">
        <v>0</v>
      </c>
      <c r="C21" s="43">
        <v>0</v>
      </c>
      <c r="D21" s="43">
        <v>0</v>
      </c>
      <c r="E21" s="43">
        <v>0</v>
      </c>
      <c r="F21" s="43">
        <v>0</v>
      </c>
      <c r="G21">
        <f>SUM(B21:F21)</f>
        <v>0</v>
      </c>
    </row>
    <row r="22" spans="1:7" x14ac:dyDescent="0.3">
      <c r="A22" t="s">
        <v>37</v>
      </c>
      <c r="B22">
        <v>0</v>
      </c>
      <c r="C22" s="43">
        <v>806</v>
      </c>
      <c r="D22" s="43">
        <v>10</v>
      </c>
      <c r="E22" s="43">
        <v>233</v>
      </c>
      <c r="F22" s="43">
        <v>13</v>
      </c>
      <c r="G22">
        <f>SUM(B22:F22)</f>
        <v>1062</v>
      </c>
    </row>
    <row r="23" spans="1:7" ht="15.6" x14ac:dyDescent="0.3">
      <c r="A23" t="s">
        <v>34</v>
      </c>
      <c r="C23" s="25">
        <f>SUM(C20:C22)</f>
        <v>1402</v>
      </c>
      <c r="D23" s="25">
        <f>SUM(D20:D22)</f>
        <v>10</v>
      </c>
      <c r="E23" s="25">
        <f>SUM(E20:E22)</f>
        <v>485</v>
      </c>
      <c r="F23" s="61">
        <f>SUM(F20:F22)</f>
        <v>15</v>
      </c>
      <c r="G23" s="25">
        <f>SUM(C23:F23)</f>
        <v>1912</v>
      </c>
    </row>
    <row r="25" spans="1:7" x14ac:dyDescent="0.3">
      <c r="A25" s="24" t="s">
        <v>298</v>
      </c>
      <c r="B25" s="24"/>
      <c r="C25" s="24"/>
      <c r="D25" s="24"/>
      <c r="E25" s="24"/>
      <c r="F25" s="24"/>
    </row>
    <row r="26" spans="1:7" x14ac:dyDescent="0.3">
      <c r="C26" t="s">
        <v>32</v>
      </c>
      <c r="D26" t="s">
        <v>33</v>
      </c>
      <c r="E26" t="s">
        <v>87</v>
      </c>
      <c r="G26" t="s">
        <v>55</v>
      </c>
    </row>
    <row r="27" spans="1:7" x14ac:dyDescent="0.3">
      <c r="A27" t="s">
        <v>35</v>
      </c>
      <c r="C27">
        <v>1823</v>
      </c>
      <c r="D27" s="43">
        <v>37456</v>
      </c>
      <c r="E27">
        <v>0</v>
      </c>
      <c r="G27">
        <f>SUM(C27:F27)</f>
        <v>39279</v>
      </c>
    </row>
    <row r="28" spans="1:7" x14ac:dyDescent="0.3">
      <c r="A28" t="s">
        <v>36</v>
      </c>
      <c r="C28">
        <v>0</v>
      </c>
      <c r="D28">
        <v>0</v>
      </c>
      <c r="E28">
        <v>0</v>
      </c>
      <c r="G28">
        <f>SUM(C28:F28)</f>
        <v>0</v>
      </c>
    </row>
    <row r="29" spans="1:7" x14ac:dyDescent="0.3">
      <c r="A29" t="s">
        <v>141</v>
      </c>
      <c r="C29">
        <v>0</v>
      </c>
      <c r="D29">
        <v>10</v>
      </c>
      <c r="E29">
        <v>0</v>
      </c>
      <c r="G29">
        <f>SUM(C29:F29)</f>
        <v>10</v>
      </c>
    </row>
    <row r="30" spans="1:7" x14ac:dyDescent="0.3">
      <c r="A30" t="s">
        <v>37</v>
      </c>
      <c r="C30">
        <v>2153</v>
      </c>
      <c r="D30" s="43">
        <v>39488</v>
      </c>
      <c r="E30">
        <v>0</v>
      </c>
      <c r="G30">
        <f>SUM(C30:F30)</f>
        <v>41641</v>
      </c>
    </row>
    <row r="31" spans="1:7" ht="15.6" x14ac:dyDescent="0.3">
      <c r="A31" s="25" t="s">
        <v>63</v>
      </c>
      <c r="B31" s="25"/>
      <c r="C31" s="25">
        <f>SUM(C27:C30)</f>
        <v>3976</v>
      </c>
      <c r="D31" s="61">
        <f>SUM(D27:D30)</f>
        <v>76954</v>
      </c>
      <c r="E31" s="25">
        <f>SUM(E27:E30)</f>
        <v>0</v>
      </c>
      <c r="F31" s="25"/>
      <c r="G31" s="25">
        <f>SUM(G27:G30)</f>
        <v>80930</v>
      </c>
    </row>
    <row r="33" spans="1:6" ht="15.6" x14ac:dyDescent="0.3">
      <c r="A33" s="26" t="s">
        <v>299</v>
      </c>
      <c r="B33" s="26"/>
      <c r="C33" s="24"/>
      <c r="D33" s="24"/>
      <c r="E33" s="24"/>
      <c r="F33" s="24"/>
    </row>
    <row r="34" spans="1:6" x14ac:dyDescent="0.3">
      <c r="A34" t="s">
        <v>35</v>
      </c>
      <c r="F34">
        <f>G27-G3</f>
        <v>-257</v>
      </c>
    </row>
    <row r="35" spans="1:6" x14ac:dyDescent="0.3">
      <c r="A35" t="s">
        <v>36</v>
      </c>
      <c r="F35">
        <f>G28-G4</f>
        <v>0</v>
      </c>
    </row>
    <row r="36" spans="1:6" x14ac:dyDescent="0.3">
      <c r="A36" t="s">
        <v>37</v>
      </c>
      <c r="F36">
        <f>G30-G6</f>
        <v>995</v>
      </c>
    </row>
    <row r="37" spans="1:6" ht="15.6" x14ac:dyDescent="0.3">
      <c r="A37" s="25" t="s">
        <v>34</v>
      </c>
      <c r="B37" s="25"/>
      <c r="C37" s="25"/>
      <c r="D37" s="25"/>
      <c r="E37" s="25"/>
      <c r="F37" s="25">
        <f>SUM(F34:F36)</f>
        <v>738</v>
      </c>
    </row>
    <row r="39" spans="1:6" x14ac:dyDescent="0.3">
      <c r="A39" t="s">
        <v>46</v>
      </c>
    </row>
    <row r="40" spans="1:6" x14ac:dyDescent="0.3">
      <c r="A40" t="s">
        <v>47</v>
      </c>
    </row>
    <row r="41" spans="1:6" x14ac:dyDescent="0.3">
      <c r="A41" t="s">
        <v>48</v>
      </c>
    </row>
    <row r="42" spans="1:6" x14ac:dyDescent="0.3">
      <c r="A42" t="s">
        <v>49</v>
      </c>
    </row>
    <row r="43" spans="1:6" x14ac:dyDescent="0.3">
      <c r="A43" t="s">
        <v>50</v>
      </c>
    </row>
    <row r="44" spans="1:6" x14ac:dyDescent="0.3">
      <c r="A44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Planilha51"/>
  <dimension ref="A1:G45"/>
  <sheetViews>
    <sheetView topLeftCell="A7" workbookViewId="0">
      <selection activeCell="M29" sqref="M29"/>
    </sheetView>
  </sheetViews>
  <sheetFormatPr defaultRowHeight="14.4" x14ac:dyDescent="0.3"/>
  <cols>
    <col min="1" max="1" width="25.33203125" customWidth="1"/>
  </cols>
  <sheetData>
    <row r="1" spans="1:7" x14ac:dyDescent="0.3">
      <c r="A1" s="24" t="s">
        <v>298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>
        <v>1823</v>
      </c>
      <c r="D3" s="43">
        <v>37456</v>
      </c>
      <c r="E3">
        <v>0</v>
      </c>
      <c r="G3">
        <f>SUM(C3:F3)</f>
        <v>39279</v>
      </c>
    </row>
    <row r="4" spans="1:7" x14ac:dyDescent="0.3">
      <c r="A4" t="s">
        <v>36</v>
      </c>
      <c r="C4">
        <v>0</v>
      </c>
      <c r="D4">
        <v>0</v>
      </c>
      <c r="E4">
        <v>0</v>
      </c>
      <c r="G4">
        <f>SUM(C4:F4)</f>
        <v>0</v>
      </c>
    </row>
    <row r="5" spans="1:7" x14ac:dyDescent="0.3">
      <c r="A5" t="s">
        <v>141</v>
      </c>
      <c r="C5">
        <v>0</v>
      </c>
      <c r="D5">
        <v>10</v>
      </c>
      <c r="E5">
        <v>0</v>
      </c>
      <c r="G5">
        <f>SUM(C5:F5)</f>
        <v>10</v>
      </c>
    </row>
    <row r="6" spans="1:7" x14ac:dyDescent="0.3">
      <c r="A6" t="s">
        <v>37</v>
      </c>
      <c r="C6">
        <v>2153</v>
      </c>
      <c r="D6" s="43">
        <v>39488</v>
      </c>
      <c r="E6">
        <v>0</v>
      </c>
      <c r="G6">
        <f>SUM(C6:F6)</f>
        <v>41641</v>
      </c>
    </row>
    <row r="7" spans="1:7" ht="15.6" x14ac:dyDescent="0.3">
      <c r="A7" s="25" t="s">
        <v>63</v>
      </c>
      <c r="B7" s="25"/>
      <c r="C7" s="25">
        <f>SUM(C3:C6)</f>
        <v>3976</v>
      </c>
      <c r="D7" s="61">
        <f>SUM(D3:D6)</f>
        <v>76954</v>
      </c>
      <c r="E7" s="25">
        <f>SUM(E3:E6)</f>
        <v>0</v>
      </c>
      <c r="F7" s="25"/>
      <c r="G7" s="25">
        <f>SUM(G3:G6)</f>
        <v>80930</v>
      </c>
    </row>
    <row r="9" spans="1:7" ht="15.6" x14ac:dyDescent="0.3">
      <c r="A9" s="25"/>
      <c r="B9" s="25"/>
      <c r="C9" s="25"/>
      <c r="D9" s="61"/>
      <c r="E9" s="25"/>
      <c r="F9" s="25"/>
      <c r="G9" s="25"/>
    </row>
    <row r="10" spans="1:7" x14ac:dyDescent="0.3">
      <c r="A10" s="24" t="s">
        <v>300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>
        <v>0</v>
      </c>
      <c r="D12" s="120">
        <v>167</v>
      </c>
      <c r="G12">
        <f>SUM(C12:E12)</f>
        <v>167</v>
      </c>
    </row>
    <row r="13" spans="1:7" x14ac:dyDescent="0.3">
      <c r="A13" t="s">
        <v>53</v>
      </c>
      <c r="C13">
        <v>0</v>
      </c>
      <c r="D13" s="43">
        <v>0</v>
      </c>
      <c r="G13">
        <f>SUM(C13:E13)</f>
        <v>0</v>
      </c>
    </row>
    <row r="14" spans="1:7" x14ac:dyDescent="0.3">
      <c r="A14" t="s">
        <v>140</v>
      </c>
      <c r="C14">
        <v>0</v>
      </c>
      <c r="D14" s="43">
        <v>0</v>
      </c>
      <c r="G14">
        <f>SUM(C14:E14)</f>
        <v>0</v>
      </c>
    </row>
    <row r="15" spans="1:7" x14ac:dyDescent="0.3">
      <c r="A15" t="s">
        <v>54</v>
      </c>
      <c r="C15">
        <v>0</v>
      </c>
      <c r="D15" s="120">
        <v>518</v>
      </c>
      <c r="G15">
        <f>SUM(C15:E15)</f>
        <v>518</v>
      </c>
    </row>
    <row r="16" spans="1:7" ht="15.6" x14ac:dyDescent="0.3">
      <c r="A16" s="25" t="s">
        <v>55</v>
      </c>
      <c r="B16" s="25"/>
      <c r="C16" s="25">
        <f>SUM(C12:C15)</f>
        <v>0</v>
      </c>
      <c r="D16" s="25">
        <f>SUM(D12:D15)</f>
        <v>685</v>
      </c>
      <c r="E16" s="25"/>
      <c r="F16" s="25"/>
      <c r="G16" s="25">
        <f>SUM(G12:G15)</f>
        <v>685</v>
      </c>
    </row>
    <row r="18" spans="1:7" x14ac:dyDescent="0.3">
      <c r="A18" s="29" t="s">
        <v>301</v>
      </c>
      <c r="B18" s="29"/>
      <c r="C18" s="29"/>
      <c r="D18" s="29"/>
      <c r="E18" s="29"/>
      <c r="F18" s="29"/>
      <c r="G18" s="29"/>
    </row>
    <row r="19" spans="1:7" x14ac:dyDescent="0.3">
      <c r="A19" t="s">
        <v>39</v>
      </c>
      <c r="B19" t="s">
        <v>113</v>
      </c>
      <c r="C19" t="s">
        <v>41</v>
      </c>
      <c r="D19" t="s">
        <v>42</v>
      </c>
      <c r="E19" t="s">
        <v>43</v>
      </c>
      <c r="F19" t="s">
        <v>58</v>
      </c>
      <c r="G19" t="s">
        <v>34</v>
      </c>
    </row>
    <row r="20" spans="1:7" x14ac:dyDescent="0.3">
      <c r="A20" t="s">
        <v>35</v>
      </c>
      <c r="C20" s="43">
        <v>280</v>
      </c>
      <c r="D20" s="43">
        <v>36</v>
      </c>
      <c r="E20" s="43">
        <v>49</v>
      </c>
      <c r="F20" s="43">
        <v>0</v>
      </c>
      <c r="G20">
        <f>SUM(B20:F20)</f>
        <v>365</v>
      </c>
    </row>
    <row r="21" spans="1:7" x14ac:dyDescent="0.3">
      <c r="A21" t="s">
        <v>36</v>
      </c>
      <c r="C21" s="43">
        <v>0</v>
      </c>
      <c r="D21" s="43">
        <v>0</v>
      </c>
      <c r="E21" s="43"/>
      <c r="F21" s="43">
        <v>0</v>
      </c>
      <c r="G21">
        <f>SUM(B21:F21)</f>
        <v>0</v>
      </c>
    </row>
    <row r="22" spans="1:7" x14ac:dyDescent="0.3">
      <c r="A22" t="s">
        <v>142</v>
      </c>
      <c r="C22" s="43">
        <v>0</v>
      </c>
      <c r="D22" s="43">
        <v>0</v>
      </c>
      <c r="E22" s="43">
        <v>0</v>
      </c>
      <c r="F22" s="43">
        <v>10</v>
      </c>
      <c r="G22">
        <f>SUM(B22:F22)</f>
        <v>10</v>
      </c>
    </row>
    <row r="23" spans="1:7" x14ac:dyDescent="0.3">
      <c r="A23" t="s">
        <v>37</v>
      </c>
      <c r="C23" s="43">
        <v>689</v>
      </c>
      <c r="D23" s="43">
        <v>88</v>
      </c>
      <c r="E23" s="43">
        <v>107</v>
      </c>
      <c r="F23" s="43">
        <v>8</v>
      </c>
      <c r="G23">
        <f>SUM(B23:F23)</f>
        <v>892</v>
      </c>
    </row>
    <row r="24" spans="1:7" ht="15.6" x14ac:dyDescent="0.3">
      <c r="A24" t="s">
        <v>34</v>
      </c>
      <c r="C24" s="25">
        <f>SUM(C20:C23)</f>
        <v>969</v>
      </c>
      <c r="D24" s="25">
        <f>SUM(D20:D23)</f>
        <v>124</v>
      </c>
      <c r="E24" s="25">
        <f>SUM(E20:E23)</f>
        <v>156</v>
      </c>
      <c r="F24" s="61">
        <f>SUM(F20:F23)</f>
        <v>18</v>
      </c>
      <c r="G24" s="25">
        <f>SUM(C24:F24)</f>
        <v>1267</v>
      </c>
    </row>
    <row r="26" spans="1:7" x14ac:dyDescent="0.3">
      <c r="A26" s="24" t="s">
        <v>302</v>
      </c>
      <c r="B26" s="24"/>
      <c r="C26" s="24"/>
      <c r="D26" s="24"/>
      <c r="E26" s="24"/>
      <c r="F26" s="24"/>
    </row>
    <row r="27" spans="1:7" x14ac:dyDescent="0.3">
      <c r="C27" t="s">
        <v>32</v>
      </c>
      <c r="D27" t="s">
        <v>33</v>
      </c>
      <c r="E27" t="s">
        <v>87</v>
      </c>
      <c r="G27" t="s">
        <v>55</v>
      </c>
    </row>
    <row r="28" spans="1:7" x14ac:dyDescent="0.3">
      <c r="A28" t="s">
        <v>35</v>
      </c>
      <c r="C28" s="121">
        <v>1626</v>
      </c>
      <c r="D28" s="121">
        <v>37455</v>
      </c>
      <c r="E28">
        <v>0</v>
      </c>
      <c r="G28">
        <f>SUM(C28:F28)</f>
        <v>39081</v>
      </c>
    </row>
    <row r="29" spans="1:7" x14ac:dyDescent="0.3">
      <c r="A29" t="s">
        <v>36</v>
      </c>
      <c r="C29">
        <v>0</v>
      </c>
      <c r="D29">
        <v>0</v>
      </c>
      <c r="E29">
        <v>0</v>
      </c>
      <c r="G29">
        <f>SUM(C29:F29)</f>
        <v>0</v>
      </c>
    </row>
    <row r="30" spans="1:7" x14ac:dyDescent="0.3">
      <c r="A30" t="s">
        <v>141</v>
      </c>
      <c r="C30">
        <v>0</v>
      </c>
      <c r="D30">
        <v>0</v>
      </c>
      <c r="E30">
        <v>0</v>
      </c>
      <c r="G30">
        <f>SUM(C30:F30)</f>
        <v>0</v>
      </c>
    </row>
    <row r="31" spans="1:7" x14ac:dyDescent="0.3">
      <c r="A31" t="s">
        <v>37</v>
      </c>
      <c r="C31" s="121">
        <v>2131</v>
      </c>
      <c r="D31" s="121">
        <v>39136</v>
      </c>
      <c r="E31">
        <v>0</v>
      </c>
      <c r="G31">
        <f>SUM(C31:F31)</f>
        <v>41267</v>
      </c>
    </row>
    <row r="32" spans="1:7" ht="15.6" x14ac:dyDescent="0.3">
      <c r="A32" s="25" t="s">
        <v>63</v>
      </c>
      <c r="B32" s="25"/>
      <c r="C32" s="25">
        <f>SUM(C28:C31)</f>
        <v>3757</v>
      </c>
      <c r="D32" s="61">
        <f>SUM(D28:D31)</f>
        <v>76591</v>
      </c>
      <c r="E32" s="25">
        <f>SUM(E28:E31)</f>
        <v>0</v>
      </c>
      <c r="F32" s="25"/>
      <c r="G32" s="25">
        <f>SUM(G28:G31)</f>
        <v>80348</v>
      </c>
    </row>
    <row r="34" spans="1:6" ht="15.6" x14ac:dyDescent="0.3">
      <c r="A34" s="26" t="s">
        <v>303</v>
      </c>
      <c r="B34" s="26"/>
      <c r="C34" s="24"/>
      <c r="D34" s="24"/>
      <c r="E34" s="24"/>
      <c r="F34" s="24"/>
    </row>
    <row r="35" spans="1:6" x14ac:dyDescent="0.3">
      <c r="A35" t="s">
        <v>35</v>
      </c>
      <c r="F35">
        <f>G28-G3</f>
        <v>-198</v>
      </c>
    </row>
    <row r="36" spans="1:6" x14ac:dyDescent="0.3">
      <c r="A36" t="s">
        <v>36</v>
      </c>
      <c r="F36">
        <f>G29-G4</f>
        <v>0</v>
      </c>
    </row>
    <row r="37" spans="1:6" x14ac:dyDescent="0.3">
      <c r="A37" t="s">
        <v>37</v>
      </c>
      <c r="F37">
        <f>G31-G6</f>
        <v>-374</v>
      </c>
    </row>
    <row r="38" spans="1:6" ht="15.6" x14ac:dyDescent="0.3">
      <c r="A38" s="25" t="s">
        <v>34</v>
      </c>
      <c r="B38" s="25"/>
      <c r="C38" s="25"/>
      <c r="D38" s="25"/>
      <c r="E38" s="25"/>
      <c r="F38" s="25">
        <f>SUM(F35:F37)</f>
        <v>-572</v>
      </c>
    </row>
    <row r="40" spans="1:6" x14ac:dyDescent="0.3">
      <c r="A40" t="s">
        <v>46</v>
      </c>
    </row>
    <row r="41" spans="1:6" x14ac:dyDescent="0.3">
      <c r="A41" t="s">
        <v>47</v>
      </c>
    </row>
    <row r="42" spans="1:6" x14ac:dyDescent="0.3">
      <c r="A42" t="s">
        <v>48</v>
      </c>
    </row>
    <row r="43" spans="1:6" x14ac:dyDescent="0.3">
      <c r="A43" t="s">
        <v>49</v>
      </c>
    </row>
    <row r="44" spans="1:6" x14ac:dyDescent="0.3">
      <c r="A44" t="s">
        <v>50</v>
      </c>
    </row>
    <row r="45" spans="1:6" x14ac:dyDescent="0.3">
      <c r="A45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Planilha52"/>
  <dimension ref="A1:G45"/>
  <sheetViews>
    <sheetView topLeftCell="A7" workbookViewId="0">
      <selection activeCell="C28" sqref="C28"/>
    </sheetView>
  </sheetViews>
  <sheetFormatPr defaultRowHeight="14.4" x14ac:dyDescent="0.3"/>
  <cols>
    <col min="1" max="1" width="25.33203125" customWidth="1"/>
  </cols>
  <sheetData>
    <row r="1" spans="1:7" x14ac:dyDescent="0.3">
      <c r="A1" s="24" t="s">
        <v>302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 s="121">
        <v>1626</v>
      </c>
      <c r="D3" s="121">
        <v>37455</v>
      </c>
      <c r="E3">
        <v>0</v>
      </c>
      <c r="G3">
        <f>SUM(C3:F3)</f>
        <v>39081</v>
      </c>
    </row>
    <row r="4" spans="1:7" x14ac:dyDescent="0.3">
      <c r="A4" t="s">
        <v>36</v>
      </c>
      <c r="C4">
        <v>0</v>
      </c>
      <c r="D4">
        <v>0</v>
      </c>
      <c r="E4">
        <v>0</v>
      </c>
      <c r="G4">
        <f>SUM(C4:F4)</f>
        <v>0</v>
      </c>
    </row>
    <row r="5" spans="1:7" x14ac:dyDescent="0.3">
      <c r="A5" t="s">
        <v>141</v>
      </c>
      <c r="C5">
        <v>0</v>
      </c>
      <c r="D5">
        <v>0</v>
      </c>
      <c r="E5">
        <v>0</v>
      </c>
      <c r="G5">
        <f>SUM(C5:F5)</f>
        <v>0</v>
      </c>
    </row>
    <row r="6" spans="1:7" x14ac:dyDescent="0.3">
      <c r="A6" t="s">
        <v>37</v>
      </c>
      <c r="C6" s="121">
        <v>2131</v>
      </c>
      <c r="D6" s="121">
        <v>39136</v>
      </c>
      <c r="E6">
        <v>0</v>
      </c>
      <c r="G6">
        <f>SUM(C6:F6)</f>
        <v>41267</v>
      </c>
    </row>
    <row r="7" spans="1:7" ht="15.6" x14ac:dyDescent="0.3">
      <c r="A7" s="25" t="s">
        <v>63</v>
      </c>
      <c r="B7" s="25"/>
      <c r="C7" s="25">
        <f>SUM(C3:C6)</f>
        <v>3757</v>
      </c>
      <c r="D7" s="61">
        <f>SUM(D3:D6)</f>
        <v>76591</v>
      </c>
      <c r="E7" s="25">
        <f>SUM(E3:E6)</f>
        <v>0</v>
      </c>
      <c r="F7" s="25"/>
      <c r="G7" s="25">
        <f>SUM(G3:G6)</f>
        <v>80348</v>
      </c>
    </row>
    <row r="9" spans="1:7" ht="15.6" x14ac:dyDescent="0.3">
      <c r="A9" s="25"/>
      <c r="B9" s="25"/>
      <c r="C9" s="25"/>
      <c r="D9" s="61"/>
      <c r="E9" s="25"/>
      <c r="F9" s="25"/>
      <c r="G9" s="25"/>
    </row>
    <row r="10" spans="1:7" x14ac:dyDescent="0.3">
      <c r="A10" s="24" t="s">
        <v>306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>
        <v>1458</v>
      </c>
      <c r="D12" s="120">
        <v>37708</v>
      </c>
      <c r="E12">
        <v>0</v>
      </c>
      <c r="F12">
        <v>0</v>
      </c>
      <c r="G12">
        <f>SUM(C12:E12)</f>
        <v>39166</v>
      </c>
    </row>
    <row r="13" spans="1:7" x14ac:dyDescent="0.3">
      <c r="A13" t="s">
        <v>53</v>
      </c>
      <c r="C13">
        <v>0</v>
      </c>
      <c r="D13">
        <v>0</v>
      </c>
      <c r="E13">
        <v>0</v>
      </c>
      <c r="F13">
        <v>0</v>
      </c>
      <c r="G13">
        <f>SUM(C13:E13)</f>
        <v>0</v>
      </c>
    </row>
    <row r="14" spans="1:7" x14ac:dyDescent="0.3">
      <c r="A14" t="s">
        <v>140</v>
      </c>
      <c r="C14">
        <v>0</v>
      </c>
      <c r="D14">
        <v>0</v>
      </c>
      <c r="E14">
        <v>0</v>
      </c>
      <c r="F14">
        <v>0</v>
      </c>
      <c r="G14">
        <f>SUM(C14:E14)</f>
        <v>0</v>
      </c>
    </row>
    <row r="15" spans="1:7" x14ac:dyDescent="0.3">
      <c r="A15" t="s">
        <v>54</v>
      </c>
      <c r="C15">
        <v>2734</v>
      </c>
      <c r="D15" s="120">
        <v>39129</v>
      </c>
      <c r="E15">
        <v>0</v>
      </c>
      <c r="F15">
        <v>0</v>
      </c>
      <c r="G15">
        <f>SUM(C15:E15)</f>
        <v>41863</v>
      </c>
    </row>
    <row r="16" spans="1:7" ht="15.6" x14ac:dyDescent="0.3">
      <c r="A16" s="25" t="s">
        <v>55</v>
      </c>
      <c r="B16" s="25"/>
      <c r="C16" s="25">
        <f>SUM(C12:C15)</f>
        <v>4192</v>
      </c>
      <c r="D16" s="25">
        <f>SUM(D12:D15)</f>
        <v>76837</v>
      </c>
      <c r="E16">
        <v>0</v>
      </c>
      <c r="F16">
        <v>0</v>
      </c>
      <c r="G16" s="25">
        <f>SUM(G12:G15)</f>
        <v>81029</v>
      </c>
    </row>
    <row r="18" spans="1:7" x14ac:dyDescent="0.3">
      <c r="A18" s="29" t="s">
        <v>305</v>
      </c>
      <c r="B18" s="29"/>
      <c r="C18" s="29"/>
      <c r="D18" s="29"/>
      <c r="E18" s="29"/>
      <c r="F18" s="29"/>
      <c r="G18" s="29"/>
    </row>
    <row r="19" spans="1:7" x14ac:dyDescent="0.3">
      <c r="A19" t="s">
        <v>39</v>
      </c>
      <c r="B19" t="s">
        <v>113</v>
      </c>
      <c r="C19" t="s">
        <v>41</v>
      </c>
      <c r="D19" t="s">
        <v>42</v>
      </c>
      <c r="E19" t="s">
        <v>43</v>
      </c>
      <c r="F19" t="s">
        <v>58</v>
      </c>
      <c r="G19" t="s">
        <v>34</v>
      </c>
    </row>
    <row r="20" spans="1:7" x14ac:dyDescent="0.3">
      <c r="A20" t="s">
        <v>35</v>
      </c>
      <c r="C20" s="43">
        <v>278</v>
      </c>
      <c r="D20" s="43">
        <v>23</v>
      </c>
      <c r="E20" s="43">
        <v>140</v>
      </c>
      <c r="F20" s="43">
        <v>1</v>
      </c>
      <c r="G20">
        <f>SUM(B20:F20)</f>
        <v>442</v>
      </c>
    </row>
    <row r="21" spans="1:7" x14ac:dyDescent="0.3">
      <c r="A21" t="s">
        <v>36</v>
      </c>
      <c r="C21">
        <v>0</v>
      </c>
      <c r="D21">
        <v>0</v>
      </c>
      <c r="E21">
        <v>0</v>
      </c>
      <c r="F21">
        <v>0</v>
      </c>
      <c r="G21">
        <f>SUM(B21:F21)</f>
        <v>0</v>
      </c>
    </row>
    <row r="22" spans="1:7" x14ac:dyDescent="0.3">
      <c r="A22" t="s">
        <v>142</v>
      </c>
      <c r="C22">
        <v>0</v>
      </c>
      <c r="D22">
        <v>0</v>
      </c>
      <c r="E22">
        <v>0</v>
      </c>
      <c r="F22">
        <v>0</v>
      </c>
      <c r="G22">
        <f>SUM(B22:F22)</f>
        <v>0</v>
      </c>
    </row>
    <row r="23" spans="1:7" x14ac:dyDescent="0.3">
      <c r="A23" t="s">
        <v>37</v>
      </c>
      <c r="C23" s="43">
        <v>477</v>
      </c>
      <c r="D23" s="43">
        <v>12</v>
      </c>
      <c r="E23" s="43">
        <v>109</v>
      </c>
      <c r="F23" s="43">
        <v>13</v>
      </c>
      <c r="G23">
        <f>SUM(B23:F23)</f>
        <v>611</v>
      </c>
    </row>
    <row r="24" spans="1:7" ht="15.6" x14ac:dyDescent="0.3">
      <c r="A24" t="s">
        <v>34</v>
      </c>
      <c r="C24" s="25">
        <f>SUM(C20:C23)</f>
        <v>755</v>
      </c>
      <c r="D24" s="25">
        <f>SUM(D20:D23)</f>
        <v>35</v>
      </c>
      <c r="E24" s="25">
        <f>SUM(E20:E23)</f>
        <v>249</v>
      </c>
      <c r="F24" s="61">
        <f>SUM(F20:F23)</f>
        <v>14</v>
      </c>
      <c r="G24" s="25">
        <f>SUM(C24:F24)</f>
        <v>1053</v>
      </c>
    </row>
    <row r="26" spans="1:7" x14ac:dyDescent="0.3">
      <c r="A26" s="24" t="s">
        <v>304</v>
      </c>
      <c r="B26" s="24"/>
      <c r="C26" s="24"/>
      <c r="D26" s="24"/>
      <c r="E26" s="24"/>
      <c r="F26" s="24"/>
    </row>
    <row r="27" spans="1:7" x14ac:dyDescent="0.3">
      <c r="C27" t="s">
        <v>32</v>
      </c>
      <c r="D27" t="s">
        <v>33</v>
      </c>
      <c r="E27" t="s">
        <v>87</v>
      </c>
      <c r="G27" t="s">
        <v>55</v>
      </c>
    </row>
    <row r="28" spans="1:7" x14ac:dyDescent="0.3">
      <c r="A28" t="s">
        <v>35</v>
      </c>
      <c r="C28" s="121">
        <v>1458</v>
      </c>
      <c r="D28" s="121">
        <v>37708</v>
      </c>
      <c r="E28">
        <v>0</v>
      </c>
      <c r="F28">
        <v>0</v>
      </c>
      <c r="G28">
        <f>SUM(C28:F28)</f>
        <v>39166</v>
      </c>
    </row>
    <row r="29" spans="1:7" x14ac:dyDescent="0.3">
      <c r="A29" t="s">
        <v>36</v>
      </c>
      <c r="C29">
        <v>0</v>
      </c>
      <c r="D29">
        <v>0</v>
      </c>
      <c r="E29">
        <v>0</v>
      </c>
      <c r="F29">
        <v>0</v>
      </c>
      <c r="G29">
        <f>SUM(C29:F29)</f>
        <v>0</v>
      </c>
    </row>
    <row r="30" spans="1:7" x14ac:dyDescent="0.3">
      <c r="A30" t="s">
        <v>141</v>
      </c>
      <c r="C30">
        <v>0</v>
      </c>
      <c r="D30">
        <v>0</v>
      </c>
      <c r="E30">
        <v>0</v>
      </c>
      <c r="F30">
        <v>0</v>
      </c>
      <c r="G30">
        <f>SUM(C30:F30)</f>
        <v>0</v>
      </c>
    </row>
    <row r="31" spans="1:7" x14ac:dyDescent="0.3">
      <c r="A31" t="s">
        <v>37</v>
      </c>
      <c r="C31" s="121">
        <v>2734</v>
      </c>
      <c r="D31" s="121">
        <v>39129</v>
      </c>
      <c r="E31">
        <v>0</v>
      </c>
      <c r="F31">
        <v>0</v>
      </c>
      <c r="G31">
        <f>SUM(C31:F31)</f>
        <v>41863</v>
      </c>
    </row>
    <row r="32" spans="1:7" ht="15.6" x14ac:dyDescent="0.3">
      <c r="A32" s="25" t="s">
        <v>63</v>
      </c>
      <c r="B32" s="25"/>
      <c r="C32" s="25">
        <f>SUM(C28:C31)</f>
        <v>4192</v>
      </c>
      <c r="D32" s="61">
        <f>SUM(D28:D31)</f>
        <v>76837</v>
      </c>
      <c r="E32" s="25">
        <f>SUM(E28:E31)</f>
        <v>0</v>
      </c>
      <c r="F32">
        <v>0</v>
      </c>
      <c r="G32" s="25">
        <f>SUM(G28:G31)</f>
        <v>81029</v>
      </c>
    </row>
    <row r="34" spans="1:6" ht="15.6" x14ac:dyDescent="0.3">
      <c r="A34" s="26" t="s">
        <v>307</v>
      </c>
      <c r="B34" s="26"/>
      <c r="C34" s="24"/>
      <c r="D34" s="24"/>
      <c r="E34" s="24"/>
      <c r="F34" s="24"/>
    </row>
    <row r="35" spans="1:6" x14ac:dyDescent="0.3">
      <c r="A35" t="s">
        <v>35</v>
      </c>
      <c r="F35">
        <f>G28-G3</f>
        <v>85</v>
      </c>
    </row>
    <row r="36" spans="1:6" x14ac:dyDescent="0.3">
      <c r="A36" t="s">
        <v>36</v>
      </c>
      <c r="F36">
        <f>G29-G4</f>
        <v>0</v>
      </c>
    </row>
    <row r="37" spans="1:6" x14ac:dyDescent="0.3">
      <c r="A37" t="s">
        <v>37</v>
      </c>
      <c r="F37">
        <f>G31-G6</f>
        <v>596</v>
      </c>
    </row>
    <row r="38" spans="1:6" ht="15.6" x14ac:dyDescent="0.3">
      <c r="A38" s="25" t="s">
        <v>34</v>
      </c>
      <c r="B38" s="25"/>
      <c r="C38" s="25"/>
      <c r="D38" s="25"/>
      <c r="E38" s="25"/>
      <c r="F38" s="25">
        <f>SUM(F35:F37)</f>
        <v>681</v>
      </c>
    </row>
    <row r="40" spans="1:6" x14ac:dyDescent="0.3">
      <c r="A40" t="s">
        <v>46</v>
      </c>
    </row>
    <row r="41" spans="1:6" x14ac:dyDescent="0.3">
      <c r="A41" t="s">
        <v>47</v>
      </c>
    </row>
    <row r="42" spans="1:6" x14ac:dyDescent="0.3">
      <c r="A42" t="s">
        <v>48</v>
      </c>
    </row>
    <row r="43" spans="1:6" x14ac:dyDescent="0.3">
      <c r="A43" t="s">
        <v>49</v>
      </c>
    </row>
    <row r="44" spans="1:6" x14ac:dyDescent="0.3">
      <c r="A44" t="s">
        <v>50</v>
      </c>
    </row>
    <row r="45" spans="1:6" x14ac:dyDescent="0.3">
      <c r="A45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Planilha53"/>
  <dimension ref="A1:G45"/>
  <sheetViews>
    <sheetView topLeftCell="A10" workbookViewId="0">
      <selection activeCell="I42" sqref="I42"/>
    </sheetView>
  </sheetViews>
  <sheetFormatPr defaultRowHeight="14.4" x14ac:dyDescent="0.3"/>
  <cols>
    <col min="1" max="1" width="25.33203125" customWidth="1"/>
  </cols>
  <sheetData>
    <row r="1" spans="1:7" x14ac:dyDescent="0.3">
      <c r="A1" s="24" t="s">
        <v>304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 s="121">
        <v>1458</v>
      </c>
      <c r="D3" s="121">
        <v>37708</v>
      </c>
      <c r="E3">
        <v>0</v>
      </c>
      <c r="F3">
        <v>0</v>
      </c>
      <c r="G3">
        <f>SUM(C3:F3)</f>
        <v>39166</v>
      </c>
    </row>
    <row r="4" spans="1:7" x14ac:dyDescent="0.3">
      <c r="A4" t="s">
        <v>36</v>
      </c>
      <c r="C4">
        <v>0</v>
      </c>
      <c r="D4">
        <v>0</v>
      </c>
      <c r="E4">
        <v>0</v>
      </c>
      <c r="F4">
        <v>0</v>
      </c>
      <c r="G4">
        <f>SUM(C4:F4)</f>
        <v>0</v>
      </c>
    </row>
    <row r="5" spans="1:7" x14ac:dyDescent="0.3">
      <c r="A5" t="s">
        <v>141</v>
      </c>
      <c r="C5">
        <v>0</v>
      </c>
      <c r="D5">
        <v>0</v>
      </c>
      <c r="E5">
        <v>0</v>
      </c>
      <c r="F5">
        <v>0</v>
      </c>
      <c r="G5">
        <f>SUM(C5:F5)</f>
        <v>0</v>
      </c>
    </row>
    <row r="6" spans="1:7" x14ac:dyDescent="0.3">
      <c r="A6" t="s">
        <v>37</v>
      </c>
      <c r="C6" s="121">
        <v>2734</v>
      </c>
      <c r="D6" s="121">
        <v>39129</v>
      </c>
      <c r="E6">
        <v>0</v>
      </c>
      <c r="F6">
        <v>0</v>
      </c>
      <c r="G6">
        <f>SUM(C6:F6)</f>
        <v>41863</v>
      </c>
    </row>
    <row r="7" spans="1:7" ht="15.6" x14ac:dyDescent="0.3">
      <c r="A7" s="25" t="s">
        <v>63</v>
      </c>
      <c r="B7" s="25"/>
      <c r="C7" s="25">
        <f>SUM(C3:C6)</f>
        <v>4192</v>
      </c>
      <c r="D7" s="61">
        <f>SUM(D3:D6)</f>
        <v>76837</v>
      </c>
      <c r="E7" s="25">
        <f>SUM(E3:E6)</f>
        <v>0</v>
      </c>
      <c r="F7">
        <v>0</v>
      </c>
      <c r="G7" s="25">
        <f>SUM(G3:G6)</f>
        <v>81029</v>
      </c>
    </row>
    <row r="9" spans="1:7" ht="15.6" x14ac:dyDescent="0.3">
      <c r="A9" s="25"/>
      <c r="B9" s="25"/>
      <c r="C9" s="25"/>
      <c r="D9" s="61"/>
      <c r="E9" s="25"/>
      <c r="F9" s="25"/>
      <c r="G9" s="25"/>
    </row>
    <row r="10" spans="1:7" x14ac:dyDescent="0.3">
      <c r="A10" s="24" t="s">
        <v>311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>
        <v>3321</v>
      </c>
      <c r="D12" s="120">
        <v>35421</v>
      </c>
      <c r="E12">
        <v>0</v>
      </c>
      <c r="F12">
        <v>0</v>
      </c>
      <c r="G12">
        <f>SUM(C12:E12)</f>
        <v>38742</v>
      </c>
    </row>
    <row r="13" spans="1:7" x14ac:dyDescent="0.3">
      <c r="A13" t="s">
        <v>53</v>
      </c>
      <c r="C13">
        <v>0</v>
      </c>
      <c r="D13">
        <v>0</v>
      </c>
      <c r="E13">
        <v>0</v>
      </c>
      <c r="F13">
        <v>0</v>
      </c>
      <c r="G13">
        <f>SUM(C13:E13)</f>
        <v>0</v>
      </c>
    </row>
    <row r="14" spans="1:7" x14ac:dyDescent="0.3">
      <c r="A14" t="s">
        <v>140</v>
      </c>
      <c r="C14">
        <v>0</v>
      </c>
      <c r="D14">
        <v>0</v>
      </c>
      <c r="E14">
        <v>0</v>
      </c>
      <c r="F14">
        <v>0</v>
      </c>
      <c r="G14">
        <f>SUM(C14:E14)</f>
        <v>0</v>
      </c>
    </row>
    <row r="15" spans="1:7" x14ac:dyDescent="0.3">
      <c r="A15" t="s">
        <v>54</v>
      </c>
      <c r="C15">
        <v>3498</v>
      </c>
      <c r="D15" s="120">
        <v>38777</v>
      </c>
      <c r="E15">
        <v>0</v>
      </c>
      <c r="F15">
        <v>0</v>
      </c>
      <c r="G15">
        <f>SUM(C15:E15)</f>
        <v>42275</v>
      </c>
    </row>
    <row r="16" spans="1:7" ht="15.6" x14ac:dyDescent="0.3">
      <c r="A16" s="25" t="s">
        <v>55</v>
      </c>
      <c r="B16" s="25"/>
      <c r="C16" s="25">
        <f>SUM(C12:C15)</f>
        <v>6819</v>
      </c>
      <c r="D16" s="25">
        <f>SUM(D12:D15)</f>
        <v>74198</v>
      </c>
      <c r="E16">
        <v>0</v>
      </c>
      <c r="F16">
        <v>0</v>
      </c>
      <c r="G16" s="25">
        <f>SUM(G12:G15)</f>
        <v>81017</v>
      </c>
    </row>
    <row r="18" spans="1:7" x14ac:dyDescent="0.3">
      <c r="A18" s="29" t="s">
        <v>310</v>
      </c>
      <c r="B18" s="29"/>
      <c r="C18" s="29"/>
      <c r="D18" s="29"/>
      <c r="E18" s="29"/>
      <c r="F18" s="29"/>
      <c r="G18" s="29"/>
    </row>
    <row r="19" spans="1:7" x14ac:dyDescent="0.3">
      <c r="A19" t="s">
        <v>39</v>
      </c>
      <c r="B19" t="s">
        <v>113</v>
      </c>
      <c r="C19" t="s">
        <v>41</v>
      </c>
      <c r="D19" t="s">
        <v>42</v>
      </c>
      <c r="E19" t="s">
        <v>43</v>
      </c>
      <c r="F19" t="s">
        <v>58</v>
      </c>
      <c r="G19" t="s">
        <v>34</v>
      </c>
    </row>
    <row r="20" spans="1:7" x14ac:dyDescent="0.3">
      <c r="A20" t="s">
        <v>35</v>
      </c>
      <c r="C20" s="43">
        <v>333</v>
      </c>
      <c r="D20" s="43">
        <v>115</v>
      </c>
      <c r="E20" s="43">
        <v>98</v>
      </c>
      <c r="F20" s="43">
        <v>1</v>
      </c>
      <c r="G20">
        <f>SUM(B20:F20)</f>
        <v>547</v>
      </c>
    </row>
    <row r="21" spans="1:7" x14ac:dyDescent="0.3">
      <c r="A21" t="s">
        <v>36</v>
      </c>
      <c r="C21">
        <v>0</v>
      </c>
      <c r="D21">
        <v>0</v>
      </c>
      <c r="E21">
        <v>0</v>
      </c>
      <c r="F21">
        <v>0</v>
      </c>
      <c r="G21">
        <f>SUM(B21:F21)</f>
        <v>0</v>
      </c>
    </row>
    <row r="22" spans="1:7" x14ac:dyDescent="0.3">
      <c r="A22" t="s">
        <v>142</v>
      </c>
      <c r="C22">
        <v>0</v>
      </c>
      <c r="D22">
        <v>0</v>
      </c>
      <c r="E22">
        <v>0</v>
      </c>
      <c r="F22">
        <v>0</v>
      </c>
      <c r="G22">
        <f>SUM(B22:F22)</f>
        <v>0</v>
      </c>
    </row>
    <row r="23" spans="1:7" x14ac:dyDescent="0.3">
      <c r="A23" t="s">
        <v>37</v>
      </c>
      <c r="C23" s="43">
        <v>607</v>
      </c>
      <c r="D23" s="43">
        <v>30</v>
      </c>
      <c r="E23" s="43">
        <v>137</v>
      </c>
      <c r="F23" s="43">
        <v>16</v>
      </c>
      <c r="G23">
        <f>SUM(B23:F23)</f>
        <v>790</v>
      </c>
    </row>
    <row r="24" spans="1:7" ht="15.6" x14ac:dyDescent="0.3">
      <c r="A24" t="s">
        <v>34</v>
      </c>
      <c r="C24" s="25">
        <f>SUM(C20:C23)</f>
        <v>940</v>
      </c>
      <c r="D24" s="25">
        <f>SUM(D20:D23)</f>
        <v>145</v>
      </c>
      <c r="E24" s="25">
        <f>SUM(E20:E23)</f>
        <v>235</v>
      </c>
      <c r="F24" s="61">
        <f>SUM(F20:F23)</f>
        <v>17</v>
      </c>
      <c r="G24" s="25">
        <f>SUM(C24:F24)</f>
        <v>1337</v>
      </c>
    </row>
    <row r="26" spans="1:7" x14ac:dyDescent="0.3">
      <c r="A26" s="24" t="s">
        <v>309</v>
      </c>
      <c r="B26" s="24"/>
      <c r="C26" s="24"/>
      <c r="D26" s="24"/>
      <c r="E26" s="24"/>
      <c r="F26" s="24"/>
    </row>
    <row r="27" spans="1:7" x14ac:dyDescent="0.3">
      <c r="C27" t="s">
        <v>32</v>
      </c>
      <c r="D27" t="s">
        <v>33</v>
      </c>
      <c r="E27" t="s">
        <v>87</v>
      </c>
      <c r="G27" t="s">
        <v>55</v>
      </c>
    </row>
    <row r="28" spans="1:7" x14ac:dyDescent="0.3">
      <c r="A28" t="s">
        <v>35</v>
      </c>
      <c r="C28">
        <v>3321</v>
      </c>
      <c r="D28" s="120">
        <v>35421</v>
      </c>
      <c r="E28">
        <v>0</v>
      </c>
      <c r="F28">
        <v>0</v>
      </c>
      <c r="G28">
        <f>SUM(C28:F28)</f>
        <v>38742</v>
      </c>
    </row>
    <row r="29" spans="1:7" x14ac:dyDescent="0.3">
      <c r="A29" t="s">
        <v>36</v>
      </c>
      <c r="C29">
        <v>0</v>
      </c>
      <c r="D29">
        <v>0</v>
      </c>
      <c r="E29">
        <v>0</v>
      </c>
      <c r="F29">
        <v>0</v>
      </c>
      <c r="G29">
        <f>SUM(C29:F29)</f>
        <v>0</v>
      </c>
    </row>
    <row r="30" spans="1:7" x14ac:dyDescent="0.3">
      <c r="A30" t="s">
        <v>141</v>
      </c>
      <c r="C30">
        <v>0</v>
      </c>
      <c r="D30">
        <v>0</v>
      </c>
      <c r="E30">
        <v>0</v>
      </c>
      <c r="F30">
        <v>0</v>
      </c>
      <c r="G30">
        <f>SUM(C30:F30)</f>
        <v>0</v>
      </c>
    </row>
    <row r="31" spans="1:7" x14ac:dyDescent="0.3">
      <c r="A31" t="s">
        <v>37</v>
      </c>
      <c r="C31">
        <v>3498</v>
      </c>
      <c r="D31" s="120">
        <v>38777</v>
      </c>
      <c r="E31">
        <v>0</v>
      </c>
      <c r="F31">
        <v>0</v>
      </c>
      <c r="G31">
        <f>SUM(C31:F31)</f>
        <v>42275</v>
      </c>
    </row>
    <row r="32" spans="1:7" ht="15.6" x14ac:dyDescent="0.3">
      <c r="A32" s="25" t="s">
        <v>63</v>
      </c>
      <c r="B32" s="25"/>
      <c r="C32" s="25">
        <f>SUM(C28:C31)</f>
        <v>6819</v>
      </c>
      <c r="D32" s="61">
        <f>SUM(D28:D31)</f>
        <v>74198</v>
      </c>
      <c r="E32" s="25">
        <f>SUM(E28:E31)</f>
        <v>0</v>
      </c>
      <c r="F32">
        <v>0</v>
      </c>
      <c r="G32" s="25">
        <f>SUM(G28:G31)</f>
        <v>81017</v>
      </c>
    </row>
    <row r="34" spans="1:6" ht="15.6" x14ac:dyDescent="0.3">
      <c r="A34" s="26" t="s">
        <v>307</v>
      </c>
      <c r="B34" s="26"/>
      <c r="C34" s="24"/>
      <c r="D34" s="24"/>
      <c r="E34" s="24"/>
      <c r="F34" s="24"/>
    </row>
    <row r="35" spans="1:6" x14ac:dyDescent="0.3">
      <c r="A35" t="s">
        <v>35</v>
      </c>
      <c r="F35">
        <f>G28-G3</f>
        <v>-424</v>
      </c>
    </row>
    <row r="36" spans="1:6" x14ac:dyDescent="0.3">
      <c r="A36" t="s">
        <v>36</v>
      </c>
      <c r="F36">
        <f>G29-G4</f>
        <v>0</v>
      </c>
    </row>
    <row r="37" spans="1:6" x14ac:dyDescent="0.3">
      <c r="A37" t="s">
        <v>37</v>
      </c>
      <c r="F37">
        <f>G31-G6</f>
        <v>412</v>
      </c>
    </row>
    <row r="38" spans="1:6" ht="15.6" x14ac:dyDescent="0.3">
      <c r="A38" s="25" t="s">
        <v>34</v>
      </c>
      <c r="B38" s="25"/>
      <c r="C38" s="25"/>
      <c r="D38" s="25"/>
      <c r="E38" s="25"/>
      <c r="F38" s="25">
        <f>SUM(F35:F37)</f>
        <v>-12</v>
      </c>
    </row>
    <row r="40" spans="1:6" x14ac:dyDescent="0.3">
      <c r="A40" t="s">
        <v>46</v>
      </c>
    </row>
    <row r="41" spans="1:6" x14ac:dyDescent="0.3">
      <c r="A41" t="s">
        <v>47</v>
      </c>
    </row>
    <row r="42" spans="1:6" x14ac:dyDescent="0.3">
      <c r="A42" t="s">
        <v>48</v>
      </c>
    </row>
    <row r="43" spans="1:6" x14ac:dyDescent="0.3">
      <c r="A43" t="s">
        <v>49</v>
      </c>
    </row>
    <row r="44" spans="1:6" x14ac:dyDescent="0.3">
      <c r="A44" t="s">
        <v>50</v>
      </c>
    </row>
    <row r="45" spans="1:6" x14ac:dyDescent="0.3">
      <c r="A45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Planilha54"/>
  <dimension ref="A1:G45"/>
  <sheetViews>
    <sheetView topLeftCell="A7" workbookViewId="0">
      <selection activeCell="P42" sqref="P42"/>
    </sheetView>
  </sheetViews>
  <sheetFormatPr defaultRowHeight="14.4" x14ac:dyDescent="0.3"/>
  <cols>
    <col min="1" max="1" width="25.33203125" customWidth="1"/>
  </cols>
  <sheetData>
    <row r="1" spans="1:7" x14ac:dyDescent="0.3">
      <c r="A1" s="24" t="s">
        <v>309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>
        <v>3321</v>
      </c>
      <c r="D3" s="120">
        <v>35421</v>
      </c>
      <c r="E3">
        <v>0</v>
      </c>
      <c r="F3">
        <v>0</v>
      </c>
      <c r="G3">
        <f>SUM(C3:F3)</f>
        <v>38742</v>
      </c>
    </row>
    <row r="4" spans="1:7" x14ac:dyDescent="0.3">
      <c r="A4" t="s">
        <v>36</v>
      </c>
      <c r="C4">
        <v>0</v>
      </c>
      <c r="D4">
        <v>0</v>
      </c>
      <c r="E4">
        <v>0</v>
      </c>
      <c r="F4">
        <v>0</v>
      </c>
      <c r="G4">
        <f>SUM(C4:F4)</f>
        <v>0</v>
      </c>
    </row>
    <row r="5" spans="1:7" x14ac:dyDescent="0.3">
      <c r="A5" t="s">
        <v>141</v>
      </c>
      <c r="C5">
        <v>0</v>
      </c>
      <c r="D5">
        <v>0</v>
      </c>
      <c r="E5">
        <v>0</v>
      </c>
      <c r="F5">
        <v>0</v>
      </c>
      <c r="G5">
        <f>SUM(C5:F5)</f>
        <v>0</v>
      </c>
    </row>
    <row r="6" spans="1:7" x14ac:dyDescent="0.3">
      <c r="A6" t="s">
        <v>37</v>
      </c>
      <c r="C6">
        <v>3498</v>
      </c>
      <c r="D6" s="120">
        <v>38777</v>
      </c>
      <c r="E6">
        <v>0</v>
      </c>
      <c r="F6">
        <v>0</v>
      </c>
      <c r="G6">
        <f>SUM(C6:F6)</f>
        <v>42275</v>
      </c>
    </row>
    <row r="7" spans="1:7" ht="15.6" x14ac:dyDescent="0.3">
      <c r="A7" s="25" t="s">
        <v>63</v>
      </c>
      <c r="B7" s="25"/>
      <c r="C7" s="25">
        <f>SUM(C3:C6)</f>
        <v>6819</v>
      </c>
      <c r="D7" s="61">
        <f>SUM(D3:D6)</f>
        <v>74198</v>
      </c>
      <c r="E7" s="25">
        <f>SUM(E3:E6)</f>
        <v>0</v>
      </c>
      <c r="F7">
        <v>0</v>
      </c>
      <c r="G7" s="25">
        <f>SUM(G3:G6)</f>
        <v>81017</v>
      </c>
    </row>
    <row r="9" spans="1:7" ht="15.6" x14ac:dyDescent="0.3">
      <c r="A9" s="25"/>
      <c r="B9" s="25"/>
      <c r="C9" s="25"/>
      <c r="D9" s="61"/>
      <c r="E9" s="25"/>
      <c r="F9" s="25"/>
      <c r="G9" s="25"/>
    </row>
    <row r="10" spans="1:7" x14ac:dyDescent="0.3">
      <c r="A10" s="24" t="s">
        <v>314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 s="121">
        <v>3944</v>
      </c>
      <c r="D12" s="121">
        <v>34786</v>
      </c>
      <c r="E12">
        <v>0</v>
      </c>
      <c r="F12">
        <v>0</v>
      </c>
      <c r="G12">
        <f>SUM(C12:F12)</f>
        <v>38730</v>
      </c>
    </row>
    <row r="13" spans="1:7" x14ac:dyDescent="0.3">
      <c r="A13" t="s">
        <v>53</v>
      </c>
      <c r="C13">
        <v>0</v>
      </c>
      <c r="D13">
        <v>0</v>
      </c>
      <c r="E13">
        <v>0</v>
      </c>
      <c r="F13">
        <v>0</v>
      </c>
      <c r="G13">
        <f>SUM(C13:F13)</f>
        <v>0</v>
      </c>
    </row>
    <row r="14" spans="1:7" x14ac:dyDescent="0.3">
      <c r="A14" t="s">
        <v>140</v>
      </c>
      <c r="C14">
        <v>0</v>
      </c>
      <c r="D14">
        <v>0</v>
      </c>
      <c r="E14">
        <v>0</v>
      </c>
      <c r="F14">
        <v>0</v>
      </c>
      <c r="G14">
        <f>SUM(C14:F14)</f>
        <v>0</v>
      </c>
    </row>
    <row r="15" spans="1:7" x14ac:dyDescent="0.3">
      <c r="A15" t="s">
        <v>54</v>
      </c>
      <c r="C15" s="121">
        <v>3474</v>
      </c>
      <c r="D15" s="121">
        <v>38414</v>
      </c>
      <c r="E15">
        <v>0</v>
      </c>
      <c r="F15">
        <v>0</v>
      </c>
      <c r="G15">
        <f>SUM(C15:F15)</f>
        <v>41888</v>
      </c>
    </row>
    <row r="16" spans="1:7" ht="15.6" x14ac:dyDescent="0.3">
      <c r="A16" s="25" t="s">
        <v>55</v>
      </c>
      <c r="B16" s="25"/>
      <c r="C16" s="25">
        <f>SUM(C12:C15)</f>
        <v>7418</v>
      </c>
      <c r="D16" s="25">
        <f>SUM(D12:D15)</f>
        <v>73200</v>
      </c>
      <c r="E16">
        <v>0</v>
      </c>
      <c r="F16">
        <v>0</v>
      </c>
      <c r="G16" s="25">
        <f>SUM(G12:G15)</f>
        <v>80618</v>
      </c>
    </row>
    <row r="18" spans="1:7" x14ac:dyDescent="0.3">
      <c r="A18" s="29" t="s">
        <v>313</v>
      </c>
      <c r="B18" s="29"/>
      <c r="C18" s="29"/>
      <c r="D18" s="29"/>
      <c r="E18" s="29"/>
      <c r="F18" s="29"/>
      <c r="G18" s="29"/>
    </row>
    <row r="19" spans="1:7" x14ac:dyDescent="0.3">
      <c r="A19" t="s">
        <v>39</v>
      </c>
      <c r="B19" t="s">
        <v>113</v>
      </c>
      <c r="C19" t="s">
        <v>41</v>
      </c>
      <c r="D19" t="s">
        <v>42</v>
      </c>
      <c r="E19" t="s">
        <v>43</v>
      </c>
      <c r="F19" t="s">
        <v>58</v>
      </c>
      <c r="G19" t="s">
        <v>34</v>
      </c>
    </row>
    <row r="20" spans="1:7" x14ac:dyDescent="0.3">
      <c r="A20" t="s">
        <v>35</v>
      </c>
      <c r="C20" s="43">
        <v>239</v>
      </c>
      <c r="D20" s="43">
        <v>0</v>
      </c>
      <c r="E20" s="43">
        <v>160</v>
      </c>
      <c r="F20" s="43">
        <v>0</v>
      </c>
      <c r="G20">
        <f>SUM(B20:F20)</f>
        <v>399</v>
      </c>
    </row>
    <row r="21" spans="1:7" x14ac:dyDescent="0.3">
      <c r="A21" t="s">
        <v>36</v>
      </c>
      <c r="C21">
        <v>0</v>
      </c>
      <c r="D21">
        <v>0</v>
      </c>
      <c r="E21">
        <v>0</v>
      </c>
      <c r="F21">
        <v>0</v>
      </c>
      <c r="G21">
        <f>SUM(B21:F21)</f>
        <v>0</v>
      </c>
    </row>
    <row r="22" spans="1:7" x14ac:dyDescent="0.3">
      <c r="A22" t="s">
        <v>142</v>
      </c>
      <c r="C22">
        <v>0</v>
      </c>
      <c r="D22">
        <v>0</v>
      </c>
      <c r="E22">
        <v>0</v>
      </c>
      <c r="F22">
        <v>0</v>
      </c>
      <c r="G22">
        <f>SUM(B22:F22)</f>
        <v>0</v>
      </c>
    </row>
    <row r="23" spans="1:7" x14ac:dyDescent="0.3">
      <c r="A23" t="s">
        <v>37</v>
      </c>
      <c r="C23" s="43">
        <v>564</v>
      </c>
      <c r="D23" s="43">
        <v>23</v>
      </c>
      <c r="E23" s="43">
        <v>205</v>
      </c>
      <c r="F23" s="123">
        <v>10</v>
      </c>
      <c r="G23">
        <f>SUM(B23:F23)</f>
        <v>802</v>
      </c>
    </row>
    <row r="24" spans="1:7" ht="15.6" x14ac:dyDescent="0.3">
      <c r="A24" t="s">
        <v>34</v>
      </c>
      <c r="C24" s="25">
        <f>SUM(C20:C23)</f>
        <v>803</v>
      </c>
      <c r="D24" s="25">
        <f>SUM(D20:D23)</f>
        <v>23</v>
      </c>
      <c r="E24" s="25">
        <f>SUM(E20:E23)</f>
        <v>365</v>
      </c>
      <c r="F24" s="61">
        <f>SUM(F20:F23)</f>
        <v>10</v>
      </c>
      <c r="G24" s="25">
        <f>SUM(C24:F24)</f>
        <v>1201</v>
      </c>
    </row>
    <row r="26" spans="1:7" x14ac:dyDescent="0.3">
      <c r="A26" s="24" t="s">
        <v>312</v>
      </c>
      <c r="B26" s="24"/>
      <c r="C26" s="24"/>
      <c r="D26" s="24"/>
      <c r="E26" s="24"/>
      <c r="F26" s="24"/>
    </row>
    <row r="27" spans="1:7" x14ac:dyDescent="0.3">
      <c r="C27" t="s">
        <v>32</v>
      </c>
      <c r="D27" t="s">
        <v>33</v>
      </c>
      <c r="E27" t="s">
        <v>87</v>
      </c>
      <c r="G27" t="s">
        <v>55</v>
      </c>
    </row>
    <row r="28" spans="1:7" x14ac:dyDescent="0.3">
      <c r="A28" t="s">
        <v>35</v>
      </c>
      <c r="C28" s="121">
        <v>3944</v>
      </c>
      <c r="D28" s="121">
        <v>34786</v>
      </c>
      <c r="G28">
        <f>SUM(C28:F28)</f>
        <v>38730</v>
      </c>
    </row>
    <row r="29" spans="1:7" x14ac:dyDescent="0.3">
      <c r="A29" t="s">
        <v>36</v>
      </c>
      <c r="G29">
        <f>SUM(C29:F29)</f>
        <v>0</v>
      </c>
    </row>
    <row r="30" spans="1:7" x14ac:dyDescent="0.3">
      <c r="A30" t="s">
        <v>141</v>
      </c>
      <c r="G30">
        <f>SUM(C30:F30)</f>
        <v>0</v>
      </c>
    </row>
    <row r="31" spans="1:7" x14ac:dyDescent="0.3">
      <c r="A31" t="s">
        <v>37</v>
      </c>
      <c r="C31" s="121">
        <v>3474</v>
      </c>
      <c r="D31" s="121">
        <v>38414</v>
      </c>
      <c r="G31">
        <f>SUM(C31:F31)</f>
        <v>41888</v>
      </c>
    </row>
    <row r="32" spans="1:7" ht="15.6" x14ac:dyDescent="0.3">
      <c r="A32" s="25" t="s">
        <v>63</v>
      </c>
      <c r="B32" s="25"/>
      <c r="C32" s="25">
        <f>SUM(C28:C31)</f>
        <v>7418</v>
      </c>
      <c r="D32" s="61">
        <f>SUM(D28:D31)</f>
        <v>73200</v>
      </c>
      <c r="E32" s="25">
        <f>SUM(E28:E31)</f>
        <v>0</v>
      </c>
      <c r="F32">
        <v>0</v>
      </c>
      <c r="G32" s="25">
        <f>SUM(G28:G31)</f>
        <v>80618</v>
      </c>
    </row>
    <row r="34" spans="1:6" ht="15.6" x14ac:dyDescent="0.3">
      <c r="A34" s="26" t="s">
        <v>307</v>
      </c>
      <c r="B34" s="26"/>
      <c r="C34" s="24"/>
      <c r="D34" s="24"/>
      <c r="E34" s="24"/>
      <c r="F34" s="24"/>
    </row>
    <row r="35" spans="1:6" x14ac:dyDescent="0.3">
      <c r="A35" t="s">
        <v>35</v>
      </c>
      <c r="F35">
        <f>G28-G3</f>
        <v>-12</v>
      </c>
    </row>
    <row r="36" spans="1:6" x14ac:dyDescent="0.3">
      <c r="A36" t="s">
        <v>36</v>
      </c>
      <c r="F36">
        <f>G29-G4</f>
        <v>0</v>
      </c>
    </row>
    <row r="37" spans="1:6" x14ac:dyDescent="0.3">
      <c r="A37" t="s">
        <v>37</v>
      </c>
      <c r="F37">
        <f>G31-G6</f>
        <v>-387</v>
      </c>
    </row>
    <row r="38" spans="1:6" ht="15.6" x14ac:dyDescent="0.3">
      <c r="A38" s="25" t="s">
        <v>34</v>
      </c>
      <c r="B38" s="25"/>
      <c r="C38" s="25"/>
      <c r="D38" s="25"/>
      <c r="E38" s="25"/>
      <c r="F38" s="25">
        <f>SUM(F35:F37)</f>
        <v>-399</v>
      </c>
    </row>
    <row r="40" spans="1:6" x14ac:dyDescent="0.3">
      <c r="A40" t="s">
        <v>46</v>
      </c>
    </row>
    <row r="41" spans="1:6" x14ac:dyDescent="0.3">
      <c r="A41" t="s">
        <v>47</v>
      </c>
    </row>
    <row r="42" spans="1:6" x14ac:dyDescent="0.3">
      <c r="A42" t="s">
        <v>48</v>
      </c>
    </row>
    <row r="43" spans="1:6" x14ac:dyDescent="0.3">
      <c r="A43" t="s">
        <v>49</v>
      </c>
    </row>
    <row r="44" spans="1:6" x14ac:dyDescent="0.3">
      <c r="A44" t="s">
        <v>50</v>
      </c>
    </row>
    <row r="45" spans="1:6" x14ac:dyDescent="0.3">
      <c r="A45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Planilha55"/>
  <dimension ref="A1:G45"/>
  <sheetViews>
    <sheetView workbookViewId="0">
      <selection activeCell="C31" sqref="C31"/>
    </sheetView>
  </sheetViews>
  <sheetFormatPr defaultRowHeight="14.4" x14ac:dyDescent="0.3"/>
  <cols>
    <col min="1" max="1" width="25.33203125" customWidth="1"/>
  </cols>
  <sheetData>
    <row r="1" spans="1:7" x14ac:dyDescent="0.3">
      <c r="A1" s="24" t="s">
        <v>312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 s="121">
        <v>3944</v>
      </c>
      <c r="D3" s="121">
        <v>34786</v>
      </c>
      <c r="G3">
        <f>SUM(C3:F3)</f>
        <v>38730</v>
      </c>
    </row>
    <row r="4" spans="1:7" x14ac:dyDescent="0.3">
      <c r="A4" t="s">
        <v>36</v>
      </c>
      <c r="G4">
        <f>SUM(C4:F4)</f>
        <v>0</v>
      </c>
    </row>
    <row r="5" spans="1:7" x14ac:dyDescent="0.3">
      <c r="A5" t="s">
        <v>141</v>
      </c>
      <c r="G5">
        <f>SUM(C5:F5)</f>
        <v>0</v>
      </c>
    </row>
    <row r="6" spans="1:7" x14ac:dyDescent="0.3">
      <c r="A6" t="s">
        <v>37</v>
      </c>
      <c r="C6" s="121">
        <v>3474</v>
      </c>
      <c r="D6" s="121">
        <v>38414</v>
      </c>
      <c r="G6">
        <f>SUM(C6:F6)</f>
        <v>41888</v>
      </c>
    </row>
    <row r="7" spans="1:7" ht="15.6" x14ac:dyDescent="0.3">
      <c r="A7" s="25" t="s">
        <v>63</v>
      </c>
      <c r="B7" s="25"/>
      <c r="C7" s="25">
        <f>SUM(C3:C6)</f>
        <v>7418</v>
      </c>
      <c r="D7" s="61">
        <f>SUM(D3:D6)</f>
        <v>73200</v>
      </c>
      <c r="E7" s="25">
        <f>SUM(E3:E6)</f>
        <v>0</v>
      </c>
      <c r="F7">
        <v>0</v>
      </c>
      <c r="G7" s="25">
        <f>SUM(G3:G6)</f>
        <v>80618</v>
      </c>
    </row>
    <row r="9" spans="1:7" ht="15.6" x14ac:dyDescent="0.3">
      <c r="A9" s="25"/>
      <c r="B9" s="25"/>
      <c r="C9" s="25"/>
      <c r="D9" s="61"/>
      <c r="E9" s="25"/>
      <c r="F9" s="25"/>
      <c r="G9" s="25"/>
    </row>
    <row r="10" spans="1:7" x14ac:dyDescent="0.3">
      <c r="A10" s="24" t="s">
        <v>317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 s="121">
        <v>0</v>
      </c>
      <c r="D12" s="123">
        <v>53</v>
      </c>
      <c r="E12">
        <v>0</v>
      </c>
      <c r="F12">
        <v>0</v>
      </c>
      <c r="G12">
        <f t="shared" ref="G12:G14" si="0">SUM(C12:F12)</f>
        <v>53</v>
      </c>
    </row>
    <row r="13" spans="1:7" x14ac:dyDescent="0.3">
      <c r="A13" t="s">
        <v>53</v>
      </c>
      <c r="C13">
        <v>0</v>
      </c>
      <c r="D13">
        <v>0</v>
      </c>
      <c r="E13">
        <v>0</v>
      </c>
      <c r="F13">
        <v>0</v>
      </c>
      <c r="G13">
        <f t="shared" si="0"/>
        <v>0</v>
      </c>
    </row>
    <row r="14" spans="1:7" x14ac:dyDescent="0.3">
      <c r="A14" t="s">
        <v>140</v>
      </c>
      <c r="C14">
        <v>0</v>
      </c>
      <c r="D14">
        <v>0</v>
      </c>
      <c r="E14">
        <v>0</v>
      </c>
      <c r="F14">
        <v>0</v>
      </c>
      <c r="G14">
        <f t="shared" si="0"/>
        <v>0</v>
      </c>
    </row>
    <row r="15" spans="1:7" x14ac:dyDescent="0.3">
      <c r="A15" t="s">
        <v>54</v>
      </c>
      <c r="C15" s="121">
        <v>0</v>
      </c>
      <c r="D15" s="123">
        <v>522</v>
      </c>
      <c r="E15">
        <v>0</v>
      </c>
      <c r="F15">
        <v>0</v>
      </c>
      <c r="G15">
        <f>SUM(C15:F15)</f>
        <v>522</v>
      </c>
    </row>
    <row r="16" spans="1:7" ht="15.6" x14ac:dyDescent="0.3">
      <c r="A16" s="25" t="s">
        <v>55</v>
      </c>
      <c r="B16" s="25"/>
      <c r="C16" s="25">
        <f>SUM(C12:C15)</f>
        <v>0</v>
      </c>
      <c r="D16" s="25">
        <f t="shared" ref="D16:F16" si="1">SUM(D12:D15)</f>
        <v>575</v>
      </c>
      <c r="E16" s="25">
        <f t="shared" si="1"/>
        <v>0</v>
      </c>
      <c r="F16" s="25">
        <f t="shared" si="1"/>
        <v>0</v>
      </c>
      <c r="G16" s="25">
        <f>SUM(G12:G15)</f>
        <v>575</v>
      </c>
    </row>
    <row r="18" spans="1:7" x14ac:dyDescent="0.3">
      <c r="A18" s="29" t="s">
        <v>316</v>
      </c>
      <c r="B18" s="29"/>
      <c r="C18" s="29"/>
      <c r="D18" s="29"/>
      <c r="E18" s="29"/>
      <c r="F18" s="29"/>
      <c r="G18" s="29"/>
    </row>
    <row r="19" spans="1:7" x14ac:dyDescent="0.3">
      <c r="A19" t="s">
        <v>39</v>
      </c>
      <c r="B19" t="s">
        <v>113</v>
      </c>
      <c r="C19" t="s">
        <v>41</v>
      </c>
      <c r="D19" t="s">
        <v>42</v>
      </c>
      <c r="E19" t="s">
        <v>43</v>
      </c>
      <c r="F19" t="s">
        <v>58</v>
      </c>
      <c r="G19" t="s">
        <v>34</v>
      </c>
    </row>
    <row r="20" spans="1:7" x14ac:dyDescent="0.3">
      <c r="A20" t="s">
        <v>35</v>
      </c>
      <c r="C20" s="123">
        <v>303</v>
      </c>
      <c r="D20" s="43">
        <v>0</v>
      </c>
      <c r="E20" s="123">
        <v>99</v>
      </c>
      <c r="F20" s="43">
        <v>0</v>
      </c>
      <c r="G20">
        <f>SUM(B20:F20)</f>
        <v>402</v>
      </c>
    </row>
    <row r="21" spans="1:7" x14ac:dyDescent="0.3">
      <c r="A21" t="s">
        <v>36</v>
      </c>
      <c r="C21">
        <v>0</v>
      </c>
      <c r="D21">
        <v>0</v>
      </c>
      <c r="E21">
        <v>0</v>
      </c>
      <c r="F21">
        <v>0</v>
      </c>
      <c r="G21">
        <f>SUM(B21:F21)</f>
        <v>0</v>
      </c>
    </row>
    <row r="22" spans="1:7" x14ac:dyDescent="0.3">
      <c r="A22" t="s">
        <v>142</v>
      </c>
      <c r="C22">
        <v>0</v>
      </c>
      <c r="D22">
        <v>0</v>
      </c>
      <c r="E22">
        <v>0</v>
      </c>
      <c r="F22">
        <v>0</v>
      </c>
      <c r="G22">
        <f>SUM(B22:F22)</f>
        <v>0</v>
      </c>
    </row>
    <row r="23" spans="1:7" x14ac:dyDescent="0.3">
      <c r="A23" t="s">
        <v>37</v>
      </c>
      <c r="C23" s="123">
        <v>319</v>
      </c>
      <c r="D23" s="43">
        <v>0</v>
      </c>
      <c r="E23" s="43">
        <v>150</v>
      </c>
      <c r="F23" s="123">
        <v>5</v>
      </c>
      <c r="G23">
        <f>SUM(B23:F23)</f>
        <v>474</v>
      </c>
    </row>
    <row r="24" spans="1:7" ht="15.6" x14ac:dyDescent="0.3">
      <c r="A24" t="s">
        <v>34</v>
      </c>
      <c r="C24" s="25">
        <f>SUM(C20:C23)</f>
        <v>622</v>
      </c>
      <c r="D24" s="25">
        <f>SUM(D20:D23)</f>
        <v>0</v>
      </c>
      <c r="E24" s="25">
        <f>SUM(E20:E23)</f>
        <v>249</v>
      </c>
      <c r="F24" s="61">
        <f>SUM(F20:F23)</f>
        <v>5</v>
      </c>
      <c r="G24" s="25">
        <f>SUM(C24:F24)</f>
        <v>876</v>
      </c>
    </row>
    <row r="26" spans="1:7" x14ac:dyDescent="0.3">
      <c r="A26" s="24" t="s">
        <v>315</v>
      </c>
      <c r="B26" s="24"/>
      <c r="C26" s="24"/>
      <c r="D26" s="24"/>
      <c r="E26" s="24"/>
      <c r="F26" s="24"/>
    </row>
    <row r="27" spans="1:7" x14ac:dyDescent="0.3">
      <c r="C27" t="s">
        <v>32</v>
      </c>
      <c r="D27" t="s">
        <v>33</v>
      </c>
      <c r="E27" t="s">
        <v>87</v>
      </c>
      <c r="G27" t="s">
        <v>55</v>
      </c>
    </row>
    <row r="28" spans="1:7" x14ac:dyDescent="0.3">
      <c r="A28" t="s">
        <v>35</v>
      </c>
      <c r="C28" s="121">
        <v>8802</v>
      </c>
      <c r="D28" s="121">
        <v>29579</v>
      </c>
      <c r="G28">
        <f>SUM(C28:F28)</f>
        <v>38381</v>
      </c>
    </row>
    <row r="29" spans="1:7" x14ac:dyDescent="0.3">
      <c r="A29" t="s">
        <v>36</v>
      </c>
      <c r="G29">
        <f>SUM(C29:F29)</f>
        <v>0</v>
      </c>
    </row>
    <row r="30" spans="1:7" x14ac:dyDescent="0.3">
      <c r="A30" t="s">
        <v>141</v>
      </c>
      <c r="G30">
        <f>SUM(C30:F30)</f>
        <v>0</v>
      </c>
    </row>
    <row r="31" spans="1:7" x14ac:dyDescent="0.3">
      <c r="A31" t="s">
        <v>37</v>
      </c>
      <c r="C31" s="121">
        <v>3982</v>
      </c>
      <c r="D31" s="121">
        <v>37954</v>
      </c>
      <c r="G31">
        <f>SUM(C31:F31)</f>
        <v>41936</v>
      </c>
    </row>
    <row r="32" spans="1:7" ht="15.6" x14ac:dyDescent="0.3">
      <c r="A32" s="25" t="s">
        <v>63</v>
      </c>
      <c r="B32" s="25"/>
      <c r="C32" s="25">
        <f>SUM(C28:C31)</f>
        <v>12784</v>
      </c>
      <c r="D32" s="61">
        <f>SUM(D28:D31)</f>
        <v>67533</v>
      </c>
      <c r="E32" s="25">
        <f>SUM(E28:E31)</f>
        <v>0</v>
      </c>
      <c r="F32">
        <v>0</v>
      </c>
      <c r="G32" s="25">
        <f>SUM(G28:G31)</f>
        <v>80317</v>
      </c>
    </row>
    <row r="34" spans="1:6" ht="15.6" x14ac:dyDescent="0.3">
      <c r="A34" s="26" t="s">
        <v>307</v>
      </c>
      <c r="B34" s="26"/>
      <c r="C34" s="24"/>
      <c r="D34" s="24"/>
      <c r="E34" s="24"/>
      <c r="F34" s="24"/>
    </row>
    <row r="35" spans="1:6" x14ac:dyDescent="0.3">
      <c r="A35" t="s">
        <v>35</v>
      </c>
      <c r="F35">
        <f>G28-G3</f>
        <v>-349</v>
      </c>
    </row>
    <row r="36" spans="1:6" x14ac:dyDescent="0.3">
      <c r="A36" t="s">
        <v>36</v>
      </c>
      <c r="F36">
        <f>G29-G4</f>
        <v>0</v>
      </c>
    </row>
    <row r="37" spans="1:6" x14ac:dyDescent="0.3">
      <c r="A37" t="s">
        <v>37</v>
      </c>
      <c r="F37">
        <f>G31-G6</f>
        <v>48</v>
      </c>
    </row>
    <row r="38" spans="1:6" ht="15.6" x14ac:dyDescent="0.3">
      <c r="A38" s="25" t="s">
        <v>34</v>
      </c>
      <c r="B38" s="25"/>
      <c r="C38" s="25"/>
      <c r="D38" s="25"/>
      <c r="E38" s="25"/>
      <c r="F38" s="25">
        <f>SUM(F35:F37)</f>
        <v>-301</v>
      </c>
    </row>
    <row r="40" spans="1:6" x14ac:dyDescent="0.3">
      <c r="A40" t="s">
        <v>46</v>
      </c>
    </row>
    <row r="41" spans="1:6" x14ac:dyDescent="0.3">
      <c r="A41" t="s">
        <v>47</v>
      </c>
    </row>
    <row r="42" spans="1:6" x14ac:dyDescent="0.3">
      <c r="A42" t="s">
        <v>48</v>
      </c>
    </row>
    <row r="43" spans="1:6" x14ac:dyDescent="0.3">
      <c r="A43" t="s">
        <v>49</v>
      </c>
    </row>
    <row r="44" spans="1:6" x14ac:dyDescent="0.3">
      <c r="A44" t="s">
        <v>50</v>
      </c>
    </row>
    <row r="45" spans="1:6" x14ac:dyDescent="0.3">
      <c r="A45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Planilha56"/>
  <dimension ref="A1:G45"/>
  <sheetViews>
    <sheetView topLeftCell="A7" workbookViewId="0">
      <selection activeCell="D12" sqref="D12"/>
    </sheetView>
  </sheetViews>
  <sheetFormatPr defaultRowHeight="14.4" x14ac:dyDescent="0.3"/>
  <cols>
    <col min="1" max="1" width="25.33203125" customWidth="1"/>
  </cols>
  <sheetData>
    <row r="1" spans="1:7" x14ac:dyDescent="0.3">
      <c r="A1" s="24" t="s">
        <v>321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 s="121">
        <v>8801</v>
      </c>
      <c r="D3" s="121">
        <v>29579</v>
      </c>
      <c r="G3">
        <f>SUM(C3:F3)</f>
        <v>38380</v>
      </c>
    </row>
    <row r="4" spans="1:7" x14ac:dyDescent="0.3">
      <c r="A4" t="s">
        <v>36</v>
      </c>
      <c r="G4">
        <f>SUM(C4:F4)</f>
        <v>0</v>
      </c>
    </row>
    <row r="5" spans="1:7" x14ac:dyDescent="0.3">
      <c r="A5" t="s">
        <v>141</v>
      </c>
      <c r="G5">
        <f>SUM(C5:F5)</f>
        <v>0</v>
      </c>
    </row>
    <row r="6" spans="1:7" x14ac:dyDescent="0.3">
      <c r="A6" t="s">
        <v>37</v>
      </c>
      <c r="C6" s="121">
        <v>3982</v>
      </c>
      <c r="D6" s="121">
        <v>37954</v>
      </c>
      <c r="G6">
        <f>SUM(C6:F6)</f>
        <v>41936</v>
      </c>
    </row>
    <row r="7" spans="1:7" ht="15.6" x14ac:dyDescent="0.3">
      <c r="A7" s="25" t="s">
        <v>63</v>
      </c>
      <c r="B7" s="25"/>
      <c r="C7" s="25">
        <f>SUM(C3:C6)</f>
        <v>12783</v>
      </c>
      <c r="D7" s="61">
        <f>SUM(D3:D6)</f>
        <v>67533</v>
      </c>
      <c r="E7" s="25">
        <f>SUM(E3:E6)</f>
        <v>0</v>
      </c>
      <c r="F7">
        <v>0</v>
      </c>
      <c r="G7" s="25">
        <f>SUM(G3:G6)</f>
        <v>80316</v>
      </c>
    </row>
    <row r="9" spans="1:7" ht="15.6" x14ac:dyDescent="0.3">
      <c r="A9" s="25"/>
      <c r="B9" s="25"/>
      <c r="C9" s="25"/>
      <c r="D9" s="61"/>
      <c r="E9" s="25"/>
      <c r="F9" s="25"/>
      <c r="G9" s="25"/>
    </row>
    <row r="10" spans="1:7" x14ac:dyDescent="0.3">
      <c r="A10" s="24" t="s">
        <v>320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 s="121"/>
      <c r="D12" s="123">
        <v>497</v>
      </c>
      <c r="G12">
        <f t="shared" ref="G12:G14" si="0">SUM(C12:F12)</f>
        <v>497</v>
      </c>
    </row>
    <row r="13" spans="1:7" x14ac:dyDescent="0.3">
      <c r="A13" t="s">
        <v>53</v>
      </c>
      <c r="G13">
        <f t="shared" si="0"/>
        <v>0</v>
      </c>
    </row>
    <row r="14" spans="1:7" x14ac:dyDescent="0.3">
      <c r="A14" t="s">
        <v>140</v>
      </c>
      <c r="G14">
        <f t="shared" si="0"/>
        <v>0</v>
      </c>
    </row>
    <row r="15" spans="1:7" x14ac:dyDescent="0.3">
      <c r="A15" t="s">
        <v>54</v>
      </c>
      <c r="C15" s="121"/>
      <c r="D15" s="121">
        <v>10</v>
      </c>
      <c r="G15">
        <f>SUM(C15:F15)</f>
        <v>10</v>
      </c>
    </row>
    <row r="16" spans="1:7" ht="15.6" x14ac:dyDescent="0.3">
      <c r="A16" s="25" t="s">
        <v>55</v>
      </c>
      <c r="B16" s="25"/>
      <c r="C16" s="25">
        <f>SUM(C12:C15)</f>
        <v>0</v>
      </c>
      <c r="D16" s="25">
        <f t="shared" ref="D16:F16" si="1">SUM(D12:D15)</f>
        <v>507</v>
      </c>
      <c r="E16" s="25">
        <f t="shared" si="1"/>
        <v>0</v>
      </c>
      <c r="F16" s="25">
        <f t="shared" si="1"/>
        <v>0</v>
      </c>
      <c r="G16" s="25">
        <f>SUM(G12:G15)</f>
        <v>507</v>
      </c>
    </row>
    <row r="18" spans="1:7" x14ac:dyDescent="0.3">
      <c r="A18" s="29" t="s">
        <v>319</v>
      </c>
      <c r="B18" s="29"/>
      <c r="C18" s="29"/>
      <c r="D18" s="29"/>
      <c r="E18" s="29"/>
      <c r="F18" s="29"/>
      <c r="G18" s="29"/>
    </row>
    <row r="19" spans="1:7" x14ac:dyDescent="0.3">
      <c r="A19" t="s">
        <v>39</v>
      </c>
      <c r="B19" t="s">
        <v>113</v>
      </c>
      <c r="C19" t="s">
        <v>41</v>
      </c>
      <c r="D19" t="s">
        <v>42</v>
      </c>
      <c r="E19" t="s">
        <v>43</v>
      </c>
      <c r="F19" t="s">
        <v>58</v>
      </c>
      <c r="G19" t="s">
        <v>34</v>
      </c>
    </row>
    <row r="20" spans="1:7" x14ac:dyDescent="0.3">
      <c r="A20" t="s">
        <v>35</v>
      </c>
      <c r="C20" s="123">
        <v>-432</v>
      </c>
      <c r="D20" s="123">
        <v>-1</v>
      </c>
      <c r="E20" s="123">
        <v>-114</v>
      </c>
      <c r="F20" s="43"/>
      <c r="G20">
        <f>SUM(B20:F20)</f>
        <v>-547</v>
      </c>
    </row>
    <row r="21" spans="1:7" x14ac:dyDescent="0.3">
      <c r="A21" t="s">
        <v>36</v>
      </c>
      <c r="G21">
        <f>SUM(B21:F21)</f>
        <v>0</v>
      </c>
    </row>
    <row r="22" spans="1:7" x14ac:dyDescent="0.3">
      <c r="A22" t="s">
        <v>142</v>
      </c>
      <c r="G22">
        <f>SUM(B22:F22)</f>
        <v>0</v>
      </c>
    </row>
    <row r="23" spans="1:7" x14ac:dyDescent="0.3">
      <c r="A23" t="s">
        <v>37</v>
      </c>
      <c r="C23" s="123">
        <v>-301</v>
      </c>
      <c r="D23" s="123">
        <v>-5</v>
      </c>
      <c r="E23" s="43">
        <v>-142</v>
      </c>
      <c r="F23" s="123">
        <v>-21</v>
      </c>
      <c r="G23">
        <f>SUM(B23:F23)</f>
        <v>-469</v>
      </c>
    </row>
    <row r="24" spans="1:7" ht="15.6" x14ac:dyDescent="0.3">
      <c r="A24" t="s">
        <v>34</v>
      </c>
      <c r="C24" s="25">
        <f>SUM(C20:C23)</f>
        <v>-733</v>
      </c>
      <c r="D24" s="25">
        <f>SUM(D20:D23)</f>
        <v>-6</v>
      </c>
      <c r="E24" s="25">
        <f>SUM(E20:E23)</f>
        <v>-256</v>
      </c>
      <c r="F24" s="61">
        <f>SUM(F20:F23)</f>
        <v>-21</v>
      </c>
      <c r="G24" s="25">
        <f>SUM(C24:F24)</f>
        <v>-1016</v>
      </c>
    </row>
    <row r="26" spans="1:7" x14ac:dyDescent="0.3">
      <c r="A26" s="24" t="s">
        <v>318</v>
      </c>
      <c r="B26" s="24"/>
      <c r="C26" s="24"/>
      <c r="D26" s="24"/>
      <c r="E26" s="24"/>
      <c r="F26" s="24"/>
    </row>
    <row r="27" spans="1:7" x14ac:dyDescent="0.3">
      <c r="C27" t="s">
        <v>32</v>
      </c>
      <c r="D27" t="s">
        <v>33</v>
      </c>
      <c r="E27" t="s">
        <v>87</v>
      </c>
      <c r="G27" t="s">
        <v>55</v>
      </c>
    </row>
    <row r="28" spans="1:7" x14ac:dyDescent="0.3">
      <c r="A28" t="s">
        <v>35</v>
      </c>
      <c r="C28" s="121">
        <v>11307</v>
      </c>
      <c r="D28" s="121">
        <v>27023</v>
      </c>
      <c r="G28">
        <f>SUM(C28:F28)</f>
        <v>38330</v>
      </c>
    </row>
    <row r="29" spans="1:7" x14ac:dyDescent="0.3">
      <c r="A29" t="s">
        <v>36</v>
      </c>
      <c r="G29">
        <f>SUM(C29:F29)</f>
        <v>0</v>
      </c>
    </row>
    <row r="30" spans="1:7" x14ac:dyDescent="0.3">
      <c r="A30" t="s">
        <v>141</v>
      </c>
      <c r="G30">
        <f>SUM(C30:F30)</f>
        <v>0</v>
      </c>
    </row>
    <row r="31" spans="1:7" x14ac:dyDescent="0.3">
      <c r="A31" t="s">
        <v>37</v>
      </c>
      <c r="C31" s="121">
        <v>4024</v>
      </c>
      <c r="D31" s="121">
        <v>37453</v>
      </c>
      <c r="G31">
        <f>SUM(C31:F31)</f>
        <v>41477</v>
      </c>
    </row>
    <row r="32" spans="1:7" ht="15.6" x14ac:dyDescent="0.3">
      <c r="A32" s="25" t="s">
        <v>63</v>
      </c>
      <c r="B32" s="25"/>
      <c r="C32" s="25">
        <f>SUM(C28:C31)</f>
        <v>15331</v>
      </c>
      <c r="D32" s="61">
        <f>SUM(D28:D31)</f>
        <v>64476</v>
      </c>
      <c r="E32" s="25">
        <f>SUM(E28:E31)</f>
        <v>0</v>
      </c>
      <c r="F32">
        <v>0</v>
      </c>
      <c r="G32" s="25">
        <f>SUM(G28:G31)</f>
        <v>79807</v>
      </c>
    </row>
    <row r="34" spans="1:6" ht="15.6" x14ac:dyDescent="0.3">
      <c r="A34" s="26" t="s">
        <v>307</v>
      </c>
      <c r="B34" s="26"/>
      <c r="C34" s="24"/>
      <c r="D34" s="24"/>
      <c r="E34" s="24"/>
      <c r="F34" s="24"/>
    </row>
    <row r="35" spans="1:6" x14ac:dyDescent="0.3">
      <c r="A35" t="s">
        <v>35</v>
      </c>
      <c r="F35">
        <f>G28-G3</f>
        <v>-50</v>
      </c>
    </row>
    <row r="36" spans="1:6" x14ac:dyDescent="0.3">
      <c r="A36" t="s">
        <v>36</v>
      </c>
      <c r="F36">
        <f>G29-G4</f>
        <v>0</v>
      </c>
    </row>
    <row r="37" spans="1:6" x14ac:dyDescent="0.3">
      <c r="A37" t="s">
        <v>37</v>
      </c>
      <c r="F37">
        <f>G31-G6</f>
        <v>-459</v>
      </c>
    </row>
    <row r="38" spans="1:6" ht="15.6" x14ac:dyDescent="0.3">
      <c r="A38" s="25" t="s">
        <v>34</v>
      </c>
      <c r="B38" s="25"/>
      <c r="C38" s="25"/>
      <c r="D38" s="25"/>
      <c r="E38" s="25"/>
      <c r="F38" s="25">
        <f>SUM(F35:F37)</f>
        <v>-509</v>
      </c>
    </row>
    <row r="40" spans="1:6" x14ac:dyDescent="0.3">
      <c r="A40" t="s">
        <v>46</v>
      </c>
    </row>
    <row r="41" spans="1:6" x14ac:dyDescent="0.3">
      <c r="A41" t="s">
        <v>47</v>
      </c>
    </row>
    <row r="42" spans="1:6" x14ac:dyDescent="0.3">
      <c r="A42" t="s">
        <v>48</v>
      </c>
    </row>
    <row r="43" spans="1:6" x14ac:dyDescent="0.3">
      <c r="A43" t="s">
        <v>49</v>
      </c>
    </row>
    <row r="44" spans="1:6" x14ac:dyDescent="0.3">
      <c r="A44" t="s">
        <v>50</v>
      </c>
    </row>
    <row r="45" spans="1:6" x14ac:dyDescent="0.3">
      <c r="A45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Planilha57"/>
  <dimension ref="A1:G45"/>
  <sheetViews>
    <sheetView workbookViewId="0">
      <selection activeCell="D11" sqref="D11"/>
    </sheetView>
  </sheetViews>
  <sheetFormatPr defaultRowHeight="14.4" x14ac:dyDescent="0.3"/>
  <cols>
    <col min="1" max="1" width="25.33203125" customWidth="1"/>
  </cols>
  <sheetData>
    <row r="1" spans="1:7" x14ac:dyDescent="0.3">
      <c r="A1" s="24" t="s">
        <v>318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 s="121">
        <v>11307</v>
      </c>
      <c r="D3" s="121">
        <v>27023</v>
      </c>
      <c r="G3">
        <f>SUM(C3:F3)</f>
        <v>38330</v>
      </c>
    </row>
    <row r="4" spans="1:7" x14ac:dyDescent="0.3">
      <c r="A4" t="s">
        <v>36</v>
      </c>
      <c r="G4">
        <f>SUM(C4:F4)</f>
        <v>0</v>
      </c>
    </row>
    <row r="5" spans="1:7" x14ac:dyDescent="0.3">
      <c r="A5" t="s">
        <v>141</v>
      </c>
      <c r="G5">
        <f>SUM(C5:F5)</f>
        <v>0</v>
      </c>
    </row>
    <row r="6" spans="1:7" x14ac:dyDescent="0.3">
      <c r="A6" t="s">
        <v>37</v>
      </c>
      <c r="C6" s="121">
        <v>4024</v>
      </c>
      <c r="D6" s="121">
        <v>37453</v>
      </c>
      <c r="G6">
        <f>SUM(C6:F6)</f>
        <v>41477</v>
      </c>
    </row>
    <row r="7" spans="1:7" ht="15.6" x14ac:dyDescent="0.3">
      <c r="A7" s="25" t="s">
        <v>63</v>
      </c>
      <c r="B7" s="25"/>
      <c r="C7" s="25">
        <f>SUM(C3:C6)</f>
        <v>15331</v>
      </c>
      <c r="D7" s="61">
        <f>SUM(D3:D6)</f>
        <v>64476</v>
      </c>
      <c r="E7" s="25">
        <f>SUM(E3:E6)</f>
        <v>0</v>
      </c>
      <c r="F7">
        <v>0</v>
      </c>
      <c r="G7" s="25">
        <f>SUM(G3:G6)</f>
        <v>79807</v>
      </c>
    </row>
    <row r="9" spans="1:7" ht="15.6" x14ac:dyDescent="0.3">
      <c r="A9" s="25"/>
      <c r="B9" s="25"/>
      <c r="C9" s="25"/>
      <c r="D9" s="61"/>
      <c r="E9" s="25"/>
      <c r="F9" s="25"/>
      <c r="G9" s="25"/>
    </row>
    <row r="10" spans="1:7" x14ac:dyDescent="0.3">
      <c r="A10" s="24" t="s">
        <v>322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 s="121"/>
      <c r="D12" s="123"/>
      <c r="G12">
        <f t="shared" ref="G12:G14" si="0">SUM(C12:F12)</f>
        <v>0</v>
      </c>
    </row>
    <row r="13" spans="1:7" x14ac:dyDescent="0.3">
      <c r="A13" t="s">
        <v>53</v>
      </c>
      <c r="G13">
        <f t="shared" si="0"/>
        <v>0</v>
      </c>
    </row>
    <row r="14" spans="1:7" x14ac:dyDescent="0.3">
      <c r="A14" t="s">
        <v>140</v>
      </c>
      <c r="G14">
        <f t="shared" si="0"/>
        <v>0</v>
      </c>
    </row>
    <row r="15" spans="1:7" x14ac:dyDescent="0.3">
      <c r="A15" t="s">
        <v>54</v>
      </c>
      <c r="C15" s="121"/>
      <c r="D15" s="121"/>
      <c r="G15">
        <f>SUM(C15:F15)</f>
        <v>0</v>
      </c>
    </row>
    <row r="16" spans="1:7" ht="15.6" x14ac:dyDescent="0.3">
      <c r="A16" s="25" t="s">
        <v>55</v>
      </c>
      <c r="B16" s="25"/>
      <c r="C16" s="25">
        <f>SUM(C12:C15)</f>
        <v>0</v>
      </c>
      <c r="D16" s="25">
        <f t="shared" ref="D16:F16" si="1">SUM(D12:D15)</f>
        <v>0</v>
      </c>
      <c r="E16" s="25">
        <f t="shared" si="1"/>
        <v>0</v>
      </c>
      <c r="F16" s="25">
        <f t="shared" si="1"/>
        <v>0</v>
      </c>
      <c r="G16" s="25">
        <f>SUM(G12:G15)</f>
        <v>0</v>
      </c>
    </row>
    <row r="18" spans="1:7" x14ac:dyDescent="0.3">
      <c r="A18" s="29" t="s">
        <v>323</v>
      </c>
      <c r="B18" s="29"/>
      <c r="C18" s="29"/>
      <c r="D18" s="29"/>
      <c r="E18" s="29"/>
      <c r="F18" s="29"/>
      <c r="G18" s="29"/>
    </row>
    <row r="19" spans="1:7" x14ac:dyDescent="0.3">
      <c r="A19" t="s">
        <v>39</v>
      </c>
      <c r="B19" t="s">
        <v>113</v>
      </c>
      <c r="C19" t="s">
        <v>41</v>
      </c>
      <c r="D19" t="s">
        <v>42</v>
      </c>
      <c r="E19" t="s">
        <v>43</v>
      </c>
      <c r="F19" t="s">
        <v>58</v>
      </c>
      <c r="G19" t="s">
        <v>34</v>
      </c>
    </row>
    <row r="20" spans="1:7" x14ac:dyDescent="0.3">
      <c r="A20" t="s">
        <v>35</v>
      </c>
      <c r="C20" s="123"/>
      <c r="D20" s="123"/>
      <c r="E20" s="123">
        <v>23</v>
      </c>
      <c r="F20" s="43">
        <v>1</v>
      </c>
      <c r="G20">
        <f>SUM(B20:F20)</f>
        <v>24</v>
      </c>
    </row>
    <row r="21" spans="1:7" x14ac:dyDescent="0.3">
      <c r="A21" t="s">
        <v>36</v>
      </c>
      <c r="G21">
        <f>SUM(B21:F21)</f>
        <v>0</v>
      </c>
    </row>
    <row r="22" spans="1:7" x14ac:dyDescent="0.3">
      <c r="A22" t="s">
        <v>142</v>
      </c>
      <c r="G22">
        <f>SUM(B22:F22)</f>
        <v>0</v>
      </c>
    </row>
    <row r="23" spans="1:7" x14ac:dyDescent="0.3">
      <c r="A23" t="s">
        <v>37</v>
      </c>
      <c r="C23" s="123"/>
      <c r="D23" s="123"/>
      <c r="E23" s="43">
        <v>114</v>
      </c>
      <c r="F23" s="123">
        <v>56</v>
      </c>
      <c r="G23">
        <f>SUM(B23:F23)</f>
        <v>170</v>
      </c>
    </row>
    <row r="24" spans="1:7" ht="15.6" x14ac:dyDescent="0.3">
      <c r="A24" t="s">
        <v>34</v>
      </c>
      <c r="C24" s="25">
        <f>SUM(C20:C23)</f>
        <v>0</v>
      </c>
      <c r="D24" s="25">
        <f>SUM(D20:D23)</f>
        <v>0</v>
      </c>
      <c r="E24" s="25">
        <f>SUM(E20:E23)</f>
        <v>137</v>
      </c>
      <c r="F24" s="61">
        <f>SUM(F20:F23)</f>
        <v>57</v>
      </c>
      <c r="G24" s="25">
        <f>SUM(C24:F24)</f>
        <v>194</v>
      </c>
    </row>
    <row r="26" spans="1:7" x14ac:dyDescent="0.3">
      <c r="A26" s="24" t="s">
        <v>324</v>
      </c>
      <c r="B26" s="24"/>
      <c r="C26" s="24"/>
      <c r="D26" s="24"/>
      <c r="E26" s="24"/>
      <c r="F26" s="24"/>
    </row>
    <row r="27" spans="1:7" x14ac:dyDescent="0.3">
      <c r="C27" t="s">
        <v>32</v>
      </c>
      <c r="D27" t="s">
        <v>33</v>
      </c>
      <c r="E27" t="s">
        <v>87</v>
      </c>
      <c r="G27" t="s">
        <v>55</v>
      </c>
    </row>
    <row r="28" spans="1:7" x14ac:dyDescent="0.3">
      <c r="A28" t="s">
        <v>35</v>
      </c>
      <c r="C28" s="125">
        <v>11297</v>
      </c>
      <c r="D28" s="126">
        <v>26226</v>
      </c>
      <c r="G28">
        <f>SUM(C28:F28)</f>
        <v>37523</v>
      </c>
    </row>
    <row r="29" spans="1:7" x14ac:dyDescent="0.3">
      <c r="A29" t="s">
        <v>36</v>
      </c>
      <c r="G29">
        <f>SUM(C29:F29)</f>
        <v>0</v>
      </c>
    </row>
    <row r="30" spans="1:7" x14ac:dyDescent="0.3">
      <c r="A30" t="s">
        <v>141</v>
      </c>
      <c r="C30" s="127"/>
      <c r="G30">
        <f>SUM(C30:F30)</f>
        <v>0</v>
      </c>
    </row>
    <row r="31" spans="1:7" x14ac:dyDescent="0.3">
      <c r="A31" t="s">
        <v>37</v>
      </c>
      <c r="C31" s="128">
        <v>4276</v>
      </c>
      <c r="D31" s="129">
        <v>36378</v>
      </c>
      <c r="G31">
        <f>SUM(C31:F31)</f>
        <v>40654</v>
      </c>
    </row>
    <row r="32" spans="1:7" ht="15.6" x14ac:dyDescent="0.3">
      <c r="A32" s="25" t="s">
        <v>63</v>
      </c>
      <c r="B32" s="25"/>
      <c r="C32" s="25">
        <f>SUM(C28:C31)</f>
        <v>15573</v>
      </c>
      <c r="D32" s="61">
        <f>SUM(D28:D31)</f>
        <v>62604</v>
      </c>
      <c r="E32" s="25">
        <f>SUM(E28:E31)</f>
        <v>0</v>
      </c>
      <c r="F32">
        <v>0</v>
      </c>
      <c r="G32" s="25">
        <f>SUM(G28:G31)</f>
        <v>78177</v>
      </c>
    </row>
    <row r="34" spans="1:6" ht="15.6" x14ac:dyDescent="0.3">
      <c r="A34" s="26" t="s">
        <v>325</v>
      </c>
      <c r="B34" s="26"/>
      <c r="C34" s="24"/>
      <c r="D34" s="24"/>
      <c r="E34" s="24"/>
      <c r="F34" s="24"/>
    </row>
    <row r="35" spans="1:6" x14ac:dyDescent="0.3">
      <c r="A35" t="s">
        <v>35</v>
      </c>
      <c r="F35">
        <f>G28-G3</f>
        <v>-807</v>
      </c>
    </row>
    <row r="36" spans="1:6" x14ac:dyDescent="0.3">
      <c r="A36" t="s">
        <v>36</v>
      </c>
      <c r="F36">
        <f>G29-G4</f>
        <v>0</v>
      </c>
    </row>
    <row r="37" spans="1:6" x14ac:dyDescent="0.3">
      <c r="A37" t="s">
        <v>37</v>
      </c>
      <c r="F37">
        <f>G31-G6</f>
        <v>-823</v>
      </c>
    </row>
    <row r="38" spans="1:6" ht="15.6" x14ac:dyDescent="0.3">
      <c r="A38" s="25" t="s">
        <v>34</v>
      </c>
      <c r="B38" s="25"/>
      <c r="C38" s="25"/>
      <c r="D38" s="25"/>
      <c r="E38" s="25"/>
      <c r="F38" s="25">
        <f>SUM(F35:F37)</f>
        <v>-1630</v>
      </c>
    </row>
    <row r="40" spans="1:6" x14ac:dyDescent="0.3">
      <c r="A40" t="s">
        <v>46</v>
      </c>
    </row>
    <row r="41" spans="1:6" x14ac:dyDescent="0.3">
      <c r="A41" t="s">
        <v>47</v>
      </c>
    </row>
    <row r="42" spans="1:6" x14ac:dyDescent="0.3">
      <c r="A42" t="s">
        <v>48</v>
      </c>
    </row>
    <row r="43" spans="1:6" x14ac:dyDescent="0.3">
      <c r="A43" t="s">
        <v>49</v>
      </c>
    </row>
    <row r="44" spans="1:6" x14ac:dyDescent="0.3">
      <c r="A44" t="s">
        <v>50</v>
      </c>
    </row>
    <row r="45" spans="1:6" x14ac:dyDescent="0.3">
      <c r="A45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Planilha58"/>
  <dimension ref="A1:G45"/>
  <sheetViews>
    <sheetView topLeftCell="A6" workbookViewId="0">
      <selection activeCell="C28" sqref="C28"/>
    </sheetView>
  </sheetViews>
  <sheetFormatPr defaultRowHeight="14.4" x14ac:dyDescent="0.3"/>
  <cols>
    <col min="1" max="1" width="25.33203125" customWidth="1"/>
  </cols>
  <sheetData>
    <row r="1" spans="1:7" x14ac:dyDescent="0.3">
      <c r="A1" s="24" t="s">
        <v>326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 s="129">
        <v>11297</v>
      </c>
      <c r="D3" s="129">
        <v>26226</v>
      </c>
      <c r="G3">
        <f>SUM(C3:F3)</f>
        <v>37523</v>
      </c>
    </row>
    <row r="4" spans="1:7" x14ac:dyDescent="0.3">
      <c r="A4" t="s">
        <v>36</v>
      </c>
      <c r="G4">
        <f>SUM(C4:F4)</f>
        <v>0</v>
      </c>
    </row>
    <row r="5" spans="1:7" x14ac:dyDescent="0.3">
      <c r="A5" t="s">
        <v>141</v>
      </c>
      <c r="C5" s="129"/>
      <c r="G5">
        <f>SUM(C5:F5)</f>
        <v>0</v>
      </c>
    </row>
    <row r="6" spans="1:7" x14ac:dyDescent="0.3">
      <c r="A6" t="s">
        <v>37</v>
      </c>
      <c r="C6" s="129">
        <v>4276</v>
      </c>
      <c r="D6" s="129">
        <v>36378</v>
      </c>
      <c r="G6">
        <f>SUM(C6:F6)</f>
        <v>40654</v>
      </c>
    </row>
    <row r="7" spans="1:7" ht="15.6" x14ac:dyDescent="0.3">
      <c r="A7" s="25" t="s">
        <v>63</v>
      </c>
      <c r="B7" s="25"/>
      <c r="C7" s="25">
        <f>SUM(C3:C6)</f>
        <v>15573</v>
      </c>
      <c r="D7" s="61">
        <f>SUM(D3:D6)</f>
        <v>62604</v>
      </c>
      <c r="E7" s="25">
        <f>SUM(E3:E6)</f>
        <v>0</v>
      </c>
      <c r="F7">
        <v>0</v>
      </c>
      <c r="G7" s="25">
        <f>SUM(G3:G6)</f>
        <v>78177</v>
      </c>
    </row>
    <row r="9" spans="1:7" ht="15.6" x14ac:dyDescent="0.3">
      <c r="A9" s="25"/>
      <c r="B9" s="25"/>
      <c r="C9" s="25"/>
      <c r="D9" s="61"/>
      <c r="E9" s="25"/>
      <c r="F9" s="25"/>
      <c r="G9" s="25"/>
    </row>
    <row r="10" spans="1:7" x14ac:dyDescent="0.3">
      <c r="A10" s="24" t="s">
        <v>327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 s="121"/>
      <c r="D12" s="123"/>
      <c r="G12">
        <f t="shared" ref="G12:G14" si="0">SUM(C12:F12)</f>
        <v>0</v>
      </c>
    </row>
    <row r="13" spans="1:7" x14ac:dyDescent="0.3">
      <c r="A13" t="s">
        <v>53</v>
      </c>
      <c r="G13">
        <f t="shared" si="0"/>
        <v>0</v>
      </c>
    </row>
    <row r="14" spans="1:7" x14ac:dyDescent="0.3">
      <c r="A14" t="s">
        <v>140</v>
      </c>
      <c r="G14">
        <f t="shared" si="0"/>
        <v>0</v>
      </c>
    </row>
    <row r="15" spans="1:7" x14ac:dyDescent="0.3">
      <c r="A15" t="s">
        <v>54</v>
      </c>
      <c r="C15" s="121"/>
      <c r="D15" s="121"/>
      <c r="G15">
        <f>SUM(C15:F15)</f>
        <v>0</v>
      </c>
    </row>
    <row r="16" spans="1:7" ht="15.6" x14ac:dyDescent="0.3">
      <c r="A16" s="25" t="s">
        <v>55</v>
      </c>
      <c r="B16" s="25"/>
      <c r="C16" s="25">
        <f>SUM(C12:C15)</f>
        <v>0</v>
      </c>
      <c r="D16" s="25">
        <f t="shared" ref="D16:F16" si="1">SUM(D12:D15)</f>
        <v>0</v>
      </c>
      <c r="E16" s="25">
        <f t="shared" si="1"/>
        <v>0</v>
      </c>
      <c r="F16" s="25">
        <f t="shared" si="1"/>
        <v>0</v>
      </c>
      <c r="G16" s="25">
        <f>SUM(G12:G15)</f>
        <v>0</v>
      </c>
    </row>
    <row r="18" spans="1:7" x14ac:dyDescent="0.3">
      <c r="A18" s="29" t="s">
        <v>330</v>
      </c>
      <c r="B18" s="29"/>
      <c r="C18" s="29"/>
      <c r="D18" s="29"/>
      <c r="E18" s="29"/>
      <c r="F18" s="29"/>
      <c r="G18" s="29"/>
    </row>
    <row r="19" spans="1:7" x14ac:dyDescent="0.3">
      <c r="A19" t="s">
        <v>39</v>
      </c>
      <c r="B19" t="s">
        <v>113</v>
      </c>
      <c r="C19" t="s">
        <v>41</v>
      </c>
      <c r="D19" t="s">
        <v>42</v>
      </c>
      <c r="E19" t="s">
        <v>43</v>
      </c>
      <c r="F19" t="s">
        <v>58</v>
      </c>
      <c r="G19" t="s">
        <v>34</v>
      </c>
    </row>
    <row r="20" spans="1:7" x14ac:dyDescent="0.3">
      <c r="A20" t="s">
        <v>35</v>
      </c>
      <c r="C20" s="135">
        <v>-24</v>
      </c>
      <c r="D20" s="137">
        <v>-214</v>
      </c>
      <c r="E20" s="136">
        <v>-70</v>
      </c>
      <c r="F20" s="43"/>
      <c r="G20">
        <f>SUM(B20:F20)</f>
        <v>-308</v>
      </c>
    </row>
    <row r="21" spans="1:7" x14ac:dyDescent="0.3">
      <c r="A21" t="s">
        <v>36</v>
      </c>
      <c r="G21">
        <f>SUM(B21:F21)</f>
        <v>0</v>
      </c>
    </row>
    <row r="22" spans="1:7" x14ac:dyDescent="0.3">
      <c r="A22" t="s">
        <v>142</v>
      </c>
      <c r="G22">
        <f>SUM(B22:F22)</f>
        <v>0</v>
      </c>
    </row>
    <row r="23" spans="1:7" x14ac:dyDescent="0.3">
      <c r="A23" t="s">
        <v>37</v>
      </c>
      <c r="C23" s="123">
        <v>-63</v>
      </c>
      <c r="D23" s="123">
        <v>-20</v>
      </c>
      <c r="E23" s="43">
        <v>-148</v>
      </c>
      <c r="F23" s="123">
        <v>-6</v>
      </c>
      <c r="G23">
        <f>SUM(B23:F23)</f>
        <v>-237</v>
      </c>
    </row>
    <row r="24" spans="1:7" ht="15.6" x14ac:dyDescent="0.3">
      <c r="A24" t="s">
        <v>34</v>
      </c>
      <c r="C24" s="25">
        <f>SUM(C20:C23)</f>
        <v>-87</v>
      </c>
      <c r="D24" s="25">
        <f>SUM(D20:D23)</f>
        <v>-234</v>
      </c>
      <c r="E24" s="25">
        <f>SUM(E20:E23)</f>
        <v>-218</v>
      </c>
      <c r="F24" s="61">
        <f>SUM(F20:F23)</f>
        <v>-6</v>
      </c>
      <c r="G24" s="25">
        <f>SUM(C24:F24)</f>
        <v>-545</v>
      </c>
    </row>
    <row r="26" spans="1:7" x14ac:dyDescent="0.3">
      <c r="A26" s="24" t="s">
        <v>329</v>
      </c>
      <c r="B26" s="24"/>
      <c r="C26" s="24"/>
      <c r="D26" s="24"/>
      <c r="E26" s="24"/>
      <c r="F26" s="24"/>
    </row>
    <row r="27" spans="1:7" x14ac:dyDescent="0.3">
      <c r="C27" t="s">
        <v>32</v>
      </c>
      <c r="D27" t="s">
        <v>33</v>
      </c>
      <c r="E27" t="s">
        <v>87</v>
      </c>
      <c r="G27" t="s">
        <v>55</v>
      </c>
    </row>
    <row r="28" spans="1:7" x14ac:dyDescent="0.3">
      <c r="A28" t="s">
        <v>35</v>
      </c>
      <c r="C28" s="130">
        <v>11016</v>
      </c>
      <c r="D28" s="132">
        <v>26199</v>
      </c>
      <c r="G28">
        <f>SUM(C28:F28)</f>
        <v>37215</v>
      </c>
    </row>
    <row r="29" spans="1:7" x14ac:dyDescent="0.3">
      <c r="A29" t="s">
        <v>36</v>
      </c>
      <c r="C29" s="131"/>
      <c r="G29">
        <f>SUM(C29:F29)</f>
        <v>0</v>
      </c>
    </row>
    <row r="30" spans="1:7" x14ac:dyDescent="0.3">
      <c r="A30" t="s">
        <v>141</v>
      </c>
      <c r="G30">
        <f>SUM(C30:F30)</f>
        <v>0</v>
      </c>
    </row>
    <row r="31" spans="1:7" x14ac:dyDescent="0.3">
      <c r="A31" t="s">
        <v>37</v>
      </c>
      <c r="C31" s="133">
        <v>4168</v>
      </c>
      <c r="D31" s="134">
        <v>36249</v>
      </c>
      <c r="G31">
        <f>SUM(C31:F31)</f>
        <v>40417</v>
      </c>
    </row>
    <row r="32" spans="1:7" ht="15.6" x14ac:dyDescent="0.3">
      <c r="A32" s="25" t="s">
        <v>63</v>
      </c>
      <c r="B32" s="25"/>
      <c r="C32" s="25">
        <f>SUM(C28:C31)</f>
        <v>15184</v>
      </c>
      <c r="D32" s="61">
        <f>SUM(D28:D31)</f>
        <v>62448</v>
      </c>
      <c r="E32" s="25">
        <f>SUM(E28:E31)</f>
        <v>0</v>
      </c>
      <c r="F32">
        <v>0</v>
      </c>
      <c r="G32" s="25">
        <f>SUM(G28:G31)</f>
        <v>77632</v>
      </c>
    </row>
    <row r="34" spans="1:6" ht="15.6" x14ac:dyDescent="0.3">
      <c r="A34" s="26" t="s">
        <v>328</v>
      </c>
      <c r="B34" s="26"/>
      <c r="C34" s="24"/>
      <c r="D34" s="24"/>
      <c r="E34" s="24"/>
      <c r="F34" s="24"/>
    </row>
    <row r="35" spans="1:6" x14ac:dyDescent="0.3">
      <c r="A35" t="s">
        <v>35</v>
      </c>
      <c r="F35">
        <f>G28-G3</f>
        <v>-308</v>
      </c>
    </row>
    <row r="36" spans="1:6" x14ac:dyDescent="0.3">
      <c r="A36" t="s">
        <v>36</v>
      </c>
      <c r="F36">
        <f>G29-G4</f>
        <v>0</v>
      </c>
    </row>
    <row r="37" spans="1:6" x14ac:dyDescent="0.3">
      <c r="A37" t="s">
        <v>37</v>
      </c>
      <c r="F37">
        <f>G31-G6</f>
        <v>-237</v>
      </c>
    </row>
    <row r="38" spans="1:6" ht="15.6" x14ac:dyDescent="0.3">
      <c r="A38" s="25" t="s">
        <v>34</v>
      </c>
      <c r="B38" s="25"/>
      <c r="C38" s="25"/>
      <c r="D38" s="25"/>
      <c r="E38" s="25"/>
      <c r="F38" s="25">
        <f>SUM(F35:F37)</f>
        <v>-545</v>
      </c>
    </row>
    <row r="40" spans="1:6" x14ac:dyDescent="0.3">
      <c r="A40" t="s">
        <v>46</v>
      </c>
    </row>
    <row r="41" spans="1:6" x14ac:dyDescent="0.3">
      <c r="A41" t="s">
        <v>47</v>
      </c>
    </row>
    <row r="42" spans="1:6" x14ac:dyDescent="0.3">
      <c r="A42" t="s">
        <v>48</v>
      </c>
    </row>
    <row r="43" spans="1:6" x14ac:dyDescent="0.3">
      <c r="A43" t="s">
        <v>49</v>
      </c>
    </row>
    <row r="44" spans="1:6" x14ac:dyDescent="0.3">
      <c r="A44" t="s">
        <v>50</v>
      </c>
    </row>
    <row r="45" spans="1:6" x14ac:dyDescent="0.3">
      <c r="A45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Planilha59"/>
  <dimension ref="A1:G45"/>
  <sheetViews>
    <sheetView topLeftCell="A2" workbookViewId="0">
      <selection activeCell="A2" sqref="A1:XFD1048576"/>
    </sheetView>
  </sheetViews>
  <sheetFormatPr defaultRowHeight="14.4" x14ac:dyDescent="0.3"/>
  <cols>
    <col min="1" max="1" width="25.33203125" customWidth="1"/>
  </cols>
  <sheetData>
    <row r="1" spans="1:7" x14ac:dyDescent="0.3">
      <c r="A1" s="24" t="s">
        <v>329</v>
      </c>
      <c r="B1" s="24"/>
      <c r="C1" s="24"/>
      <c r="D1" s="24"/>
      <c r="E1" s="24"/>
      <c r="F1" s="24"/>
    </row>
    <row r="2" spans="1:7" x14ac:dyDescent="0.3">
      <c r="C2" t="s">
        <v>32</v>
      </c>
      <c r="D2" t="s">
        <v>33</v>
      </c>
      <c r="E2" t="s">
        <v>87</v>
      </c>
      <c r="G2" t="s">
        <v>55</v>
      </c>
    </row>
    <row r="3" spans="1:7" x14ac:dyDescent="0.3">
      <c r="A3" t="s">
        <v>35</v>
      </c>
      <c r="C3" s="134">
        <v>11016</v>
      </c>
      <c r="D3" s="134">
        <v>26199</v>
      </c>
      <c r="G3">
        <f>SUM(C3:F3)</f>
        <v>37215</v>
      </c>
    </row>
    <row r="4" spans="1:7" x14ac:dyDescent="0.3">
      <c r="A4" t="s">
        <v>36</v>
      </c>
      <c r="C4" s="134"/>
      <c r="G4">
        <f>SUM(C4:F4)</f>
        <v>0</v>
      </c>
    </row>
    <row r="5" spans="1:7" x14ac:dyDescent="0.3">
      <c r="A5" t="s">
        <v>141</v>
      </c>
      <c r="G5">
        <f>SUM(C5:F5)</f>
        <v>0</v>
      </c>
    </row>
    <row r="6" spans="1:7" x14ac:dyDescent="0.3">
      <c r="A6" t="s">
        <v>37</v>
      </c>
      <c r="C6" s="134">
        <v>4168</v>
      </c>
      <c r="D6" s="134">
        <v>36249</v>
      </c>
      <c r="G6">
        <f>SUM(C6:F6)</f>
        <v>40417</v>
      </c>
    </row>
    <row r="7" spans="1:7" ht="15.6" x14ac:dyDescent="0.3">
      <c r="A7" s="25" t="s">
        <v>63</v>
      </c>
      <c r="B7" s="25"/>
      <c r="C7" s="25">
        <f>SUM(C3:C6)</f>
        <v>15184</v>
      </c>
      <c r="D7" s="61">
        <f>SUM(D3:D6)</f>
        <v>62448</v>
      </c>
      <c r="E7" s="25">
        <f>SUM(E3:E6)</f>
        <v>0</v>
      </c>
      <c r="F7">
        <v>0</v>
      </c>
      <c r="G7" s="25">
        <f>SUM(G3:G6)</f>
        <v>77632</v>
      </c>
    </row>
    <row r="9" spans="1:7" ht="15.6" x14ac:dyDescent="0.3">
      <c r="A9" s="25"/>
      <c r="B9" s="25"/>
      <c r="C9" s="25"/>
      <c r="D9" s="61"/>
      <c r="E9" s="25"/>
      <c r="F9" s="25"/>
      <c r="G9" s="25"/>
    </row>
    <row r="10" spans="1:7" x14ac:dyDescent="0.3">
      <c r="A10" s="24" t="s">
        <v>333</v>
      </c>
      <c r="B10" s="24"/>
      <c r="C10" s="24"/>
      <c r="D10" s="24"/>
      <c r="E10" s="24"/>
      <c r="F10" s="24"/>
      <c r="G10" s="24"/>
    </row>
    <row r="11" spans="1:7" x14ac:dyDescent="0.3">
      <c r="C11" t="s">
        <v>57</v>
      </c>
      <c r="D11" t="s">
        <v>33</v>
      </c>
      <c r="G11" t="s">
        <v>56</v>
      </c>
    </row>
    <row r="12" spans="1:7" x14ac:dyDescent="0.3">
      <c r="A12" t="s">
        <v>35</v>
      </c>
      <c r="C12" s="121"/>
      <c r="D12" s="123"/>
      <c r="G12">
        <f t="shared" ref="G12:G14" si="0">SUM(C12:F12)</f>
        <v>0</v>
      </c>
    </row>
    <row r="13" spans="1:7" x14ac:dyDescent="0.3">
      <c r="A13" t="s">
        <v>53</v>
      </c>
      <c r="G13">
        <f t="shared" si="0"/>
        <v>0</v>
      </c>
    </row>
    <row r="14" spans="1:7" x14ac:dyDescent="0.3">
      <c r="A14" t="s">
        <v>140</v>
      </c>
      <c r="G14">
        <f t="shared" si="0"/>
        <v>0</v>
      </c>
    </row>
    <row r="15" spans="1:7" x14ac:dyDescent="0.3">
      <c r="A15" t="s">
        <v>54</v>
      </c>
      <c r="C15" s="121"/>
      <c r="D15" s="121"/>
      <c r="G15">
        <f>SUM(C15:F15)</f>
        <v>0</v>
      </c>
    </row>
    <row r="16" spans="1:7" ht="15.6" x14ac:dyDescent="0.3">
      <c r="A16" s="25" t="s">
        <v>55</v>
      </c>
      <c r="B16" s="25"/>
      <c r="C16" s="25">
        <f>SUM(C12:C15)</f>
        <v>0</v>
      </c>
      <c r="D16" s="25">
        <f t="shared" ref="D16:F16" si="1">SUM(D12:D15)</f>
        <v>0</v>
      </c>
      <c r="E16" s="25">
        <f t="shared" si="1"/>
        <v>0</v>
      </c>
      <c r="F16" s="25">
        <f t="shared" si="1"/>
        <v>0</v>
      </c>
      <c r="G16" s="25">
        <f>SUM(G12:G15)</f>
        <v>0</v>
      </c>
    </row>
    <row r="18" spans="1:7" x14ac:dyDescent="0.3">
      <c r="A18" s="29" t="s">
        <v>332</v>
      </c>
      <c r="B18" s="29"/>
      <c r="C18" s="29"/>
      <c r="D18" s="29"/>
      <c r="E18" s="29"/>
      <c r="F18" s="29"/>
      <c r="G18" s="29"/>
    </row>
    <row r="19" spans="1:7" x14ac:dyDescent="0.3">
      <c r="A19" t="s">
        <v>39</v>
      </c>
      <c r="B19" t="s">
        <v>113</v>
      </c>
      <c r="C19" t="s">
        <v>41</v>
      </c>
      <c r="D19" t="s">
        <v>42</v>
      </c>
      <c r="E19" t="s">
        <v>43</v>
      </c>
      <c r="F19" t="s">
        <v>58</v>
      </c>
      <c r="G19" t="s">
        <v>34</v>
      </c>
    </row>
    <row r="20" spans="1:7" x14ac:dyDescent="0.3">
      <c r="A20" t="s">
        <v>35</v>
      </c>
      <c r="C20" s="143">
        <v>-574</v>
      </c>
      <c r="D20" s="148">
        <v>-1</v>
      </c>
      <c r="E20" s="146">
        <v>-93</v>
      </c>
      <c r="F20" s="150">
        <v>-57</v>
      </c>
      <c r="G20">
        <f>SUM(B20:F20)</f>
        <v>-725</v>
      </c>
    </row>
    <row r="21" spans="1:7" x14ac:dyDescent="0.3">
      <c r="A21" t="s">
        <v>36</v>
      </c>
      <c r="G21">
        <f>SUM(B21:F21)</f>
        <v>0</v>
      </c>
    </row>
    <row r="22" spans="1:7" x14ac:dyDescent="0.3">
      <c r="A22" t="s">
        <v>142</v>
      </c>
      <c r="G22">
        <f>SUM(B22:F22)</f>
        <v>0</v>
      </c>
    </row>
    <row r="23" spans="1:7" x14ac:dyDescent="0.3">
      <c r="A23" t="s">
        <v>37</v>
      </c>
      <c r="C23" s="144">
        <v>-1175</v>
      </c>
      <c r="D23" s="147">
        <v>-1</v>
      </c>
      <c r="E23" s="145">
        <v>-370</v>
      </c>
      <c r="F23" s="149">
        <v>-10</v>
      </c>
      <c r="G23">
        <f>SUM(B23:F23)</f>
        <v>-1556</v>
      </c>
    </row>
    <row r="24" spans="1:7" ht="15.6" x14ac:dyDescent="0.3">
      <c r="A24" t="s">
        <v>34</v>
      </c>
      <c r="C24" s="25">
        <f>SUM(C20:C23)</f>
        <v>-1749</v>
      </c>
      <c r="D24" s="25">
        <f>SUM(D20:D23)</f>
        <v>-2</v>
      </c>
      <c r="E24" s="25">
        <f>SUM(E20:E23)</f>
        <v>-463</v>
      </c>
      <c r="F24" s="61">
        <f>SUM(F20:F23)</f>
        <v>-67</v>
      </c>
      <c r="G24" s="25">
        <f>SUM(C24:F24)</f>
        <v>-2281</v>
      </c>
    </row>
    <row r="26" spans="1:7" x14ac:dyDescent="0.3">
      <c r="A26" s="24" t="s">
        <v>331</v>
      </c>
      <c r="B26" s="24"/>
      <c r="C26" s="24"/>
      <c r="D26" s="24"/>
      <c r="E26" s="24"/>
      <c r="F26" s="24"/>
    </row>
    <row r="27" spans="1:7" x14ac:dyDescent="0.3">
      <c r="C27" t="s">
        <v>32</v>
      </c>
      <c r="D27" t="s">
        <v>33</v>
      </c>
      <c r="E27" t="s">
        <v>87</v>
      </c>
      <c r="G27" t="s">
        <v>55</v>
      </c>
    </row>
    <row r="28" spans="1:7" x14ac:dyDescent="0.3">
      <c r="A28" t="s">
        <v>35</v>
      </c>
      <c r="C28" s="139">
        <v>11007</v>
      </c>
      <c r="D28" s="140">
        <v>25539</v>
      </c>
      <c r="G28">
        <f>SUM(C28:F28)</f>
        <v>36546</v>
      </c>
    </row>
    <row r="29" spans="1:7" x14ac:dyDescent="0.3">
      <c r="A29" t="s">
        <v>36</v>
      </c>
      <c r="C29" s="134"/>
      <c r="G29">
        <f>SUM(C29:F29)</f>
        <v>0</v>
      </c>
    </row>
    <row r="30" spans="1:7" x14ac:dyDescent="0.3">
      <c r="A30" t="s">
        <v>141</v>
      </c>
      <c r="G30">
        <f>SUM(C30:F30)</f>
        <v>0</v>
      </c>
    </row>
    <row r="31" spans="1:7" x14ac:dyDescent="0.3">
      <c r="A31" t="s">
        <v>37</v>
      </c>
      <c r="C31" s="141">
        <v>3783</v>
      </c>
      <c r="D31" s="142">
        <v>35023</v>
      </c>
      <c r="G31">
        <f>SUM(C31:F31)</f>
        <v>38806</v>
      </c>
    </row>
    <row r="32" spans="1:7" ht="15.6" x14ac:dyDescent="0.3">
      <c r="A32" s="25" t="s">
        <v>63</v>
      </c>
      <c r="B32" s="25"/>
      <c r="C32" s="25">
        <f>SUM(C28:C31)</f>
        <v>14790</v>
      </c>
      <c r="D32" s="61">
        <f>SUM(D28:D31)</f>
        <v>60562</v>
      </c>
      <c r="E32" s="25">
        <f>SUM(E28:E31)</f>
        <v>0</v>
      </c>
      <c r="F32">
        <v>0</v>
      </c>
      <c r="G32" s="25">
        <f>SUM(G28:G31)</f>
        <v>75352</v>
      </c>
    </row>
    <row r="34" spans="1:6" ht="15.6" x14ac:dyDescent="0.3">
      <c r="A34" s="26" t="s">
        <v>334</v>
      </c>
      <c r="B34" s="26"/>
      <c r="C34" s="24"/>
      <c r="D34" s="24"/>
      <c r="E34" s="24"/>
      <c r="F34" s="24"/>
    </row>
    <row r="35" spans="1:6" x14ac:dyDescent="0.3">
      <c r="A35" t="s">
        <v>35</v>
      </c>
      <c r="F35">
        <f>G28-G3</f>
        <v>-669</v>
      </c>
    </row>
    <row r="36" spans="1:6" x14ac:dyDescent="0.3">
      <c r="A36" t="s">
        <v>36</v>
      </c>
      <c r="F36">
        <f>G29-G4</f>
        <v>0</v>
      </c>
    </row>
    <row r="37" spans="1:6" x14ac:dyDescent="0.3">
      <c r="A37" t="s">
        <v>37</v>
      </c>
      <c r="F37">
        <f>G31-G6</f>
        <v>-1611</v>
      </c>
    </row>
    <row r="38" spans="1:6" ht="15.6" x14ac:dyDescent="0.3">
      <c r="A38" s="25" t="s">
        <v>34</v>
      </c>
      <c r="B38" s="25"/>
      <c r="C38" s="25"/>
      <c r="D38" s="25"/>
      <c r="E38" s="25"/>
      <c r="F38" s="25">
        <f>SUM(F35:F37)</f>
        <v>-2280</v>
      </c>
    </row>
    <row r="40" spans="1:6" x14ac:dyDescent="0.3">
      <c r="A40" t="s">
        <v>46</v>
      </c>
    </row>
    <row r="41" spans="1:6" x14ac:dyDescent="0.3">
      <c r="A41" t="s">
        <v>47</v>
      </c>
    </row>
    <row r="42" spans="1:6" x14ac:dyDescent="0.3">
      <c r="A42" t="s">
        <v>48</v>
      </c>
    </row>
    <row r="43" spans="1:6" x14ac:dyDescent="0.3">
      <c r="A43" t="s">
        <v>49</v>
      </c>
    </row>
    <row r="44" spans="1:6" x14ac:dyDescent="0.3">
      <c r="A44" t="s">
        <v>50</v>
      </c>
    </row>
    <row r="45" spans="1:6" x14ac:dyDescent="0.3">
      <c r="A45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Planilha60"/>
  <dimension ref="A1:G45"/>
  <sheetViews>
    <sheetView workbookViewId="0">
      <selection activeCell="H22" sqref="H22"/>
    </sheetView>
  </sheetViews>
  <sheetFormatPr defaultColWidth="9" defaultRowHeight="14.4" x14ac:dyDescent="0.3"/>
  <cols>
    <col min="1" max="1" width="25.33203125" style="138" customWidth="1"/>
    <col min="2" max="16384" width="9" style="138"/>
  </cols>
  <sheetData>
    <row r="1" spans="1:7" x14ac:dyDescent="0.3">
      <c r="A1" s="24" t="s">
        <v>331</v>
      </c>
      <c r="B1" s="24"/>
      <c r="C1" s="24"/>
      <c r="D1" s="24"/>
      <c r="E1" s="24"/>
      <c r="F1" s="24"/>
    </row>
    <row r="2" spans="1:7" x14ac:dyDescent="0.3">
      <c r="C2" s="138" t="s">
        <v>32</v>
      </c>
      <c r="D2" s="138" t="s">
        <v>33</v>
      </c>
      <c r="E2" s="138" t="s">
        <v>87</v>
      </c>
      <c r="G2" s="138" t="s">
        <v>55</v>
      </c>
    </row>
    <row r="3" spans="1:7" x14ac:dyDescent="0.3">
      <c r="A3" s="138" t="s">
        <v>35</v>
      </c>
      <c r="C3" s="142">
        <v>11007</v>
      </c>
      <c r="D3" s="142">
        <v>25539</v>
      </c>
      <c r="G3" s="138">
        <f>SUM(C3:F3)</f>
        <v>36546</v>
      </c>
    </row>
    <row r="4" spans="1:7" x14ac:dyDescent="0.3">
      <c r="A4" s="138" t="s">
        <v>36</v>
      </c>
      <c r="C4" s="142"/>
      <c r="G4" s="138">
        <f>SUM(C4:F4)</f>
        <v>0</v>
      </c>
    </row>
    <row r="5" spans="1:7" x14ac:dyDescent="0.3">
      <c r="A5" s="138" t="s">
        <v>141</v>
      </c>
      <c r="G5" s="138">
        <f>SUM(C5:F5)</f>
        <v>0</v>
      </c>
    </row>
    <row r="6" spans="1:7" x14ac:dyDescent="0.3">
      <c r="A6" s="138" t="s">
        <v>37</v>
      </c>
      <c r="C6" s="142">
        <v>3783</v>
      </c>
      <c r="D6" s="142">
        <v>35023</v>
      </c>
      <c r="G6" s="138">
        <f>SUM(C6:F6)</f>
        <v>38806</v>
      </c>
    </row>
    <row r="7" spans="1:7" ht="15.6" x14ac:dyDescent="0.3">
      <c r="A7" s="25" t="s">
        <v>63</v>
      </c>
      <c r="B7" s="25"/>
      <c r="C7" s="25">
        <f>SUM(C3:C6)</f>
        <v>14790</v>
      </c>
      <c r="D7" s="61">
        <f>SUM(D3:D6)</f>
        <v>60562</v>
      </c>
      <c r="E7" s="25">
        <f>SUM(E3:E6)</f>
        <v>0</v>
      </c>
      <c r="F7" s="138">
        <v>0</v>
      </c>
      <c r="G7" s="25">
        <f>SUM(G3:G6)</f>
        <v>75352</v>
      </c>
    </row>
    <row r="9" spans="1:7" ht="15.6" x14ac:dyDescent="0.3">
      <c r="A9" s="25"/>
      <c r="B9" s="25"/>
      <c r="C9" s="25"/>
      <c r="D9" s="61"/>
      <c r="E9" s="25"/>
      <c r="F9" s="25"/>
      <c r="G9" s="25"/>
    </row>
    <row r="10" spans="1:7" x14ac:dyDescent="0.3">
      <c r="A10" s="24" t="s">
        <v>335</v>
      </c>
      <c r="B10" s="24"/>
      <c r="C10" s="24"/>
      <c r="D10" s="24"/>
      <c r="E10" s="24"/>
      <c r="F10" s="24"/>
      <c r="G10" s="24"/>
    </row>
    <row r="11" spans="1:7" x14ac:dyDescent="0.3">
      <c r="C11" s="138" t="s">
        <v>57</v>
      </c>
      <c r="D11" s="138" t="s">
        <v>33</v>
      </c>
      <c r="G11" s="138" t="s">
        <v>56</v>
      </c>
    </row>
    <row r="12" spans="1:7" x14ac:dyDescent="0.3">
      <c r="A12" s="138" t="s">
        <v>35</v>
      </c>
      <c r="C12" s="121"/>
      <c r="D12" s="123"/>
      <c r="G12" s="138">
        <f t="shared" ref="G12:G14" si="0">SUM(C12:F12)</f>
        <v>0</v>
      </c>
    </row>
    <row r="13" spans="1:7" x14ac:dyDescent="0.3">
      <c r="A13" s="138" t="s">
        <v>53</v>
      </c>
      <c r="G13" s="138">
        <f t="shared" si="0"/>
        <v>0</v>
      </c>
    </row>
    <row r="14" spans="1:7" x14ac:dyDescent="0.3">
      <c r="A14" s="138" t="s">
        <v>140</v>
      </c>
      <c r="G14" s="138">
        <f t="shared" si="0"/>
        <v>0</v>
      </c>
    </row>
    <row r="15" spans="1:7" x14ac:dyDescent="0.3">
      <c r="A15" s="138" t="s">
        <v>54</v>
      </c>
      <c r="C15" s="121"/>
      <c r="D15" s="121">
        <v>1</v>
      </c>
      <c r="G15" s="138">
        <f>SUM(C15:F15)</f>
        <v>1</v>
      </c>
    </row>
    <row r="16" spans="1:7" ht="15.6" x14ac:dyDescent="0.3">
      <c r="A16" s="25" t="s">
        <v>55</v>
      </c>
      <c r="B16" s="25"/>
      <c r="C16" s="25">
        <f>SUM(C12:C15)</f>
        <v>0</v>
      </c>
      <c r="D16" s="25">
        <f t="shared" ref="D16:F16" si="1">SUM(D12:D15)</f>
        <v>1</v>
      </c>
      <c r="E16" s="25">
        <f t="shared" si="1"/>
        <v>0</v>
      </c>
      <c r="F16" s="25">
        <f t="shared" si="1"/>
        <v>0</v>
      </c>
      <c r="G16" s="25">
        <f>SUM(G12:G15)</f>
        <v>1</v>
      </c>
    </row>
    <row r="18" spans="1:7" x14ac:dyDescent="0.3">
      <c r="A18" s="29" t="s">
        <v>336</v>
      </c>
      <c r="B18" s="29"/>
      <c r="C18" s="29"/>
      <c r="D18" s="29"/>
      <c r="E18" s="29"/>
      <c r="F18" s="29"/>
      <c r="G18" s="29"/>
    </row>
    <row r="19" spans="1:7" x14ac:dyDescent="0.3">
      <c r="A19" s="138" t="s">
        <v>39</v>
      </c>
      <c r="B19" s="138" t="s">
        <v>113</v>
      </c>
      <c r="C19" s="138" t="s">
        <v>41</v>
      </c>
      <c r="D19" s="138" t="s">
        <v>42</v>
      </c>
      <c r="E19" s="138" t="s">
        <v>43</v>
      </c>
      <c r="F19" s="138" t="s">
        <v>58</v>
      </c>
      <c r="G19" s="138" t="s">
        <v>34</v>
      </c>
    </row>
    <row r="20" spans="1:7" x14ac:dyDescent="0.3">
      <c r="A20" s="138" t="s">
        <v>35</v>
      </c>
      <c r="C20" s="152">
        <v>-507</v>
      </c>
      <c r="D20" s="150">
        <v>-37</v>
      </c>
      <c r="E20" s="150">
        <v>-143</v>
      </c>
      <c r="G20" s="138">
        <f>SUM(B20:E20)</f>
        <v>-687</v>
      </c>
    </row>
    <row r="21" spans="1:7" x14ac:dyDescent="0.3">
      <c r="A21" s="138" t="s">
        <v>36</v>
      </c>
      <c r="G21" s="138">
        <f>SUM(B21:F21)</f>
        <v>0</v>
      </c>
    </row>
    <row r="22" spans="1:7" x14ac:dyDescent="0.3">
      <c r="A22" s="138" t="s">
        <v>142</v>
      </c>
      <c r="G22" s="138">
        <f>SUM(B22:F22)</f>
        <v>0</v>
      </c>
    </row>
    <row r="23" spans="1:7" x14ac:dyDescent="0.3">
      <c r="A23" s="138" t="s">
        <v>37</v>
      </c>
      <c r="C23" s="153">
        <v>-396</v>
      </c>
      <c r="D23" s="154">
        <v>-75</v>
      </c>
      <c r="E23" s="150">
        <v>-404</v>
      </c>
      <c r="F23" s="155">
        <v>-20</v>
      </c>
      <c r="G23" s="138">
        <f>SUM(B23:E23)</f>
        <v>-875</v>
      </c>
    </row>
    <row r="24" spans="1:7" ht="15.6" x14ac:dyDescent="0.3">
      <c r="A24" s="138" t="s">
        <v>34</v>
      </c>
      <c r="C24" s="25">
        <f>SUM(C20:C23)</f>
        <v>-903</v>
      </c>
      <c r="D24" s="25">
        <f>SUM(D20:D23)</f>
        <v>-112</v>
      </c>
      <c r="E24" s="25">
        <f>SUM(E20:E23)</f>
        <v>-547</v>
      </c>
      <c r="F24" s="61">
        <f>SUM(F20:F23)</f>
        <v>-20</v>
      </c>
      <c r="G24" s="25">
        <f>SUM(C24:F24)</f>
        <v>-1582</v>
      </c>
    </row>
    <row r="26" spans="1:7" x14ac:dyDescent="0.3">
      <c r="A26" s="24" t="s">
        <v>337</v>
      </c>
      <c r="B26" s="24"/>
      <c r="C26" s="24"/>
      <c r="D26" s="24"/>
      <c r="E26" s="24"/>
      <c r="F26" s="24"/>
    </row>
    <row r="27" spans="1:7" x14ac:dyDescent="0.3">
      <c r="C27" s="138" t="s">
        <v>32</v>
      </c>
      <c r="D27" s="138" t="s">
        <v>33</v>
      </c>
      <c r="E27" s="138" t="s">
        <v>87</v>
      </c>
      <c r="G27" s="138" t="s">
        <v>55</v>
      </c>
    </row>
    <row r="28" spans="1:7" x14ac:dyDescent="0.3">
      <c r="A28" s="138" t="s">
        <v>35</v>
      </c>
      <c r="C28" s="121">
        <v>10552</v>
      </c>
      <c r="D28" s="121">
        <v>25307</v>
      </c>
      <c r="G28" s="138">
        <f>SUM(C28:F28)</f>
        <v>35859</v>
      </c>
    </row>
    <row r="29" spans="1:7" x14ac:dyDescent="0.3">
      <c r="A29" s="138" t="s">
        <v>36</v>
      </c>
      <c r="C29" s="142"/>
      <c r="G29" s="138">
        <f>SUM(C29:F29)</f>
        <v>0</v>
      </c>
    </row>
    <row r="30" spans="1:7" x14ac:dyDescent="0.3">
      <c r="A30" s="138" t="s">
        <v>141</v>
      </c>
      <c r="C30" s="121"/>
      <c r="G30" s="138">
        <f>SUM(C30:F30)</f>
        <v>0</v>
      </c>
    </row>
    <row r="31" spans="1:7" x14ac:dyDescent="0.3">
      <c r="A31" s="138" t="s">
        <v>37</v>
      </c>
      <c r="C31" s="121">
        <v>3870</v>
      </c>
      <c r="D31" s="121">
        <v>34042</v>
      </c>
      <c r="G31" s="138">
        <f>SUM(C31:F31)</f>
        <v>37912</v>
      </c>
    </row>
    <row r="32" spans="1:7" ht="15.6" x14ac:dyDescent="0.3">
      <c r="A32" s="25" t="s">
        <v>63</v>
      </c>
      <c r="B32" s="25"/>
      <c r="C32" s="25">
        <f>SUM(C28:C31)</f>
        <v>14422</v>
      </c>
      <c r="D32" s="61">
        <f>SUM(D28:D31)</f>
        <v>59349</v>
      </c>
      <c r="E32" s="25">
        <f>SUM(E28:E31)</f>
        <v>0</v>
      </c>
      <c r="F32" s="138">
        <v>0</v>
      </c>
      <c r="G32" s="25">
        <f>SUM(G28:G31)</f>
        <v>73771</v>
      </c>
    </row>
    <row r="34" spans="1:6" ht="15.6" x14ac:dyDescent="0.3">
      <c r="A34" s="26" t="s">
        <v>334</v>
      </c>
      <c r="B34" s="26"/>
      <c r="C34" s="24"/>
      <c r="D34" s="24"/>
      <c r="E34" s="24"/>
      <c r="F34" s="24"/>
    </row>
    <row r="35" spans="1:6" x14ac:dyDescent="0.3">
      <c r="A35" s="138" t="s">
        <v>35</v>
      </c>
      <c r="F35" s="138">
        <f>G28-G3</f>
        <v>-687</v>
      </c>
    </row>
    <row r="36" spans="1:6" x14ac:dyDescent="0.3">
      <c r="A36" s="138" t="s">
        <v>36</v>
      </c>
      <c r="F36" s="138">
        <f>G29-G4</f>
        <v>0</v>
      </c>
    </row>
    <row r="37" spans="1:6" x14ac:dyDescent="0.3">
      <c r="A37" s="138" t="s">
        <v>37</v>
      </c>
      <c r="F37" s="138">
        <f>G31-G6</f>
        <v>-894</v>
      </c>
    </row>
    <row r="38" spans="1:6" ht="15.6" x14ac:dyDescent="0.3">
      <c r="A38" s="25" t="s">
        <v>34</v>
      </c>
      <c r="B38" s="25"/>
      <c r="C38" s="25"/>
      <c r="D38" s="25"/>
      <c r="E38" s="25"/>
      <c r="F38" s="25">
        <f>SUM(F35:F37)</f>
        <v>-1581</v>
      </c>
    </row>
    <row r="40" spans="1:6" x14ac:dyDescent="0.3">
      <c r="A40" s="138" t="s">
        <v>46</v>
      </c>
    </row>
    <row r="41" spans="1:6" x14ac:dyDescent="0.3">
      <c r="A41" s="138" t="s">
        <v>47</v>
      </c>
    </row>
    <row r="42" spans="1:6" x14ac:dyDescent="0.3">
      <c r="A42" s="138" t="s">
        <v>48</v>
      </c>
    </row>
    <row r="43" spans="1:6" x14ac:dyDescent="0.3">
      <c r="A43" s="138" t="s">
        <v>49</v>
      </c>
    </row>
    <row r="44" spans="1:6" x14ac:dyDescent="0.3">
      <c r="A44" s="138" t="s">
        <v>50</v>
      </c>
    </row>
    <row r="45" spans="1:6" x14ac:dyDescent="0.3">
      <c r="A45" s="138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Planilha61"/>
  <dimension ref="A1:G45"/>
  <sheetViews>
    <sheetView workbookViewId="0">
      <selection activeCell="C3" sqref="C3:F6"/>
    </sheetView>
  </sheetViews>
  <sheetFormatPr defaultColWidth="9" defaultRowHeight="14.4" x14ac:dyDescent="0.3"/>
  <cols>
    <col min="1" max="1" width="25.33203125" style="138" customWidth="1"/>
    <col min="2" max="16384" width="9" style="138"/>
  </cols>
  <sheetData>
    <row r="1" spans="1:7" x14ac:dyDescent="0.3">
      <c r="A1" s="24" t="s">
        <v>339</v>
      </c>
      <c r="B1" s="24"/>
      <c r="C1" s="24"/>
      <c r="D1" s="24"/>
      <c r="E1" s="24"/>
      <c r="F1" s="24"/>
    </row>
    <row r="2" spans="1:7" x14ac:dyDescent="0.3">
      <c r="C2" s="138" t="s">
        <v>32</v>
      </c>
      <c r="D2" s="138" t="s">
        <v>33</v>
      </c>
      <c r="E2" s="138" t="s">
        <v>87</v>
      </c>
      <c r="G2" s="138" t="s">
        <v>55</v>
      </c>
    </row>
    <row r="3" spans="1:7" x14ac:dyDescent="0.3">
      <c r="A3" s="138" t="s">
        <v>35</v>
      </c>
      <c r="C3" s="121">
        <v>10552</v>
      </c>
      <c r="D3" s="121">
        <v>25307</v>
      </c>
      <c r="G3" s="138">
        <f>SUM(C3:F3)</f>
        <v>35859</v>
      </c>
    </row>
    <row r="4" spans="1:7" x14ac:dyDescent="0.3">
      <c r="A4" s="138" t="s">
        <v>36</v>
      </c>
      <c r="C4" s="142"/>
      <c r="G4" s="138">
        <f>SUM(C4:F4)</f>
        <v>0</v>
      </c>
    </row>
    <row r="5" spans="1:7" x14ac:dyDescent="0.3">
      <c r="A5" s="138" t="s">
        <v>141</v>
      </c>
      <c r="C5" s="121"/>
      <c r="G5" s="138">
        <f>SUM(C5:F5)</f>
        <v>0</v>
      </c>
    </row>
    <row r="6" spans="1:7" x14ac:dyDescent="0.3">
      <c r="A6" s="138" t="s">
        <v>37</v>
      </c>
      <c r="C6" s="121">
        <v>3870</v>
      </c>
      <c r="D6" s="121">
        <v>34042</v>
      </c>
      <c r="G6" s="138">
        <f>SUM(C6:F6)</f>
        <v>37912</v>
      </c>
    </row>
    <row r="7" spans="1:7" ht="15.6" x14ac:dyDescent="0.3">
      <c r="A7" s="25" t="s">
        <v>63</v>
      </c>
      <c r="B7" s="25"/>
      <c r="C7" s="25">
        <f>SUM(C3:C6)</f>
        <v>14422</v>
      </c>
      <c r="D7" s="61">
        <f>SUM(D3:D6)</f>
        <v>59349</v>
      </c>
      <c r="E7" s="25">
        <f>SUM(E3:E6)</f>
        <v>0</v>
      </c>
      <c r="F7" s="138">
        <v>0</v>
      </c>
      <c r="G7" s="25">
        <f>SUM(G3:G6)</f>
        <v>73771</v>
      </c>
    </row>
    <row r="9" spans="1:7" ht="15.6" x14ac:dyDescent="0.3">
      <c r="A9" s="25"/>
      <c r="B9" s="25"/>
      <c r="C9" s="25"/>
      <c r="D9" s="61"/>
      <c r="E9" s="25"/>
      <c r="F9" s="25"/>
      <c r="G9" s="25"/>
    </row>
    <row r="10" spans="1:7" x14ac:dyDescent="0.3">
      <c r="A10" s="24" t="s">
        <v>340</v>
      </c>
      <c r="B10" s="24"/>
      <c r="C10" s="24"/>
      <c r="D10" s="24"/>
      <c r="E10" s="24"/>
      <c r="F10" s="24"/>
      <c r="G10" s="24"/>
    </row>
    <row r="11" spans="1:7" x14ac:dyDescent="0.3">
      <c r="C11" s="138" t="s">
        <v>57</v>
      </c>
      <c r="D11" s="138" t="s">
        <v>33</v>
      </c>
      <c r="G11" s="138" t="s">
        <v>56</v>
      </c>
    </row>
    <row r="12" spans="1:7" x14ac:dyDescent="0.3">
      <c r="A12" s="138" t="s">
        <v>35</v>
      </c>
      <c r="C12" s="121"/>
      <c r="D12" s="123"/>
      <c r="G12" s="138">
        <f t="shared" ref="G12:G14" si="0">SUM(C12:F12)</f>
        <v>0</v>
      </c>
    </row>
    <row r="13" spans="1:7" x14ac:dyDescent="0.3">
      <c r="A13" s="138" t="s">
        <v>53</v>
      </c>
      <c r="G13" s="138">
        <f t="shared" si="0"/>
        <v>0</v>
      </c>
    </row>
    <row r="14" spans="1:7" x14ac:dyDescent="0.3">
      <c r="A14" s="138" t="s">
        <v>140</v>
      </c>
      <c r="G14" s="138">
        <f t="shared" si="0"/>
        <v>0</v>
      </c>
    </row>
    <row r="15" spans="1:7" x14ac:dyDescent="0.3">
      <c r="A15" s="138" t="s">
        <v>54</v>
      </c>
      <c r="C15" s="121"/>
      <c r="D15" s="121"/>
      <c r="G15" s="138">
        <f>SUM(C15:F15)</f>
        <v>0</v>
      </c>
    </row>
    <row r="16" spans="1:7" ht="15.6" x14ac:dyDescent="0.3">
      <c r="A16" s="25" t="s">
        <v>55</v>
      </c>
      <c r="B16" s="25"/>
      <c r="C16" s="25">
        <f>SUM(C12:C15)</f>
        <v>0</v>
      </c>
      <c r="D16" s="25">
        <f t="shared" ref="D16:F16" si="1">SUM(D12:D15)</f>
        <v>0</v>
      </c>
      <c r="E16" s="25">
        <f t="shared" si="1"/>
        <v>0</v>
      </c>
      <c r="F16" s="25">
        <f t="shared" si="1"/>
        <v>0</v>
      </c>
      <c r="G16" s="25">
        <f>SUM(G12:G15)</f>
        <v>0</v>
      </c>
    </row>
    <row r="18" spans="1:7" x14ac:dyDescent="0.3">
      <c r="A18" s="29" t="s">
        <v>341</v>
      </c>
      <c r="B18" s="29"/>
      <c r="C18" s="29"/>
      <c r="D18" s="29"/>
      <c r="E18" s="29"/>
      <c r="F18" s="29"/>
      <c r="G18" s="29"/>
    </row>
    <row r="19" spans="1:7" x14ac:dyDescent="0.3">
      <c r="A19" s="138" t="s">
        <v>39</v>
      </c>
      <c r="B19" s="138" t="s">
        <v>113</v>
      </c>
      <c r="C19" s="138" t="s">
        <v>41</v>
      </c>
      <c r="D19" s="138" t="s">
        <v>42</v>
      </c>
      <c r="E19" s="138" t="s">
        <v>43</v>
      </c>
      <c r="F19" s="138" t="s">
        <v>58</v>
      </c>
      <c r="G19" s="138" t="s">
        <v>34</v>
      </c>
    </row>
    <row r="20" spans="1:7" x14ac:dyDescent="0.3">
      <c r="A20" s="138" t="s">
        <v>35</v>
      </c>
      <c r="C20" s="155"/>
      <c r="D20" s="155"/>
      <c r="E20" s="155"/>
      <c r="G20" s="138">
        <f>SUM(B20:E20)</f>
        <v>0</v>
      </c>
    </row>
    <row r="21" spans="1:7" x14ac:dyDescent="0.3">
      <c r="A21" s="138" t="s">
        <v>36</v>
      </c>
      <c r="G21" s="138">
        <f>SUM(B21:F21)</f>
        <v>0</v>
      </c>
    </row>
    <row r="22" spans="1:7" x14ac:dyDescent="0.3">
      <c r="A22" s="138" t="s">
        <v>142</v>
      </c>
      <c r="G22" s="138">
        <f>SUM(B22:F22)</f>
        <v>0</v>
      </c>
    </row>
    <row r="23" spans="1:7" x14ac:dyDescent="0.3">
      <c r="A23" s="138" t="s">
        <v>37</v>
      </c>
      <c r="C23" s="155"/>
      <c r="D23" s="155"/>
      <c r="E23" s="155"/>
      <c r="F23" s="155"/>
      <c r="G23" s="138">
        <f>SUM(B23:E23)</f>
        <v>0</v>
      </c>
    </row>
    <row r="24" spans="1:7" ht="15.6" x14ac:dyDescent="0.3">
      <c r="A24" s="138" t="s">
        <v>34</v>
      </c>
      <c r="C24" s="25">
        <f>SUM(C20:C23)</f>
        <v>0</v>
      </c>
      <c r="D24" s="25">
        <f>SUM(D20:D23)</f>
        <v>0</v>
      </c>
      <c r="E24" s="25">
        <f>SUM(E20:E23)</f>
        <v>0</v>
      </c>
      <c r="F24" s="61">
        <f>SUM(F20:F23)</f>
        <v>0</v>
      </c>
      <c r="G24" s="25">
        <f>SUM(C24:F24)</f>
        <v>0</v>
      </c>
    </row>
    <row r="26" spans="1:7" x14ac:dyDescent="0.3">
      <c r="A26" s="24" t="s">
        <v>342</v>
      </c>
      <c r="B26" s="24"/>
      <c r="C26" s="24"/>
      <c r="D26" s="24"/>
      <c r="E26" s="24"/>
      <c r="F26" s="24"/>
    </row>
    <row r="27" spans="1:7" x14ac:dyDescent="0.3">
      <c r="C27" s="138" t="s">
        <v>32</v>
      </c>
      <c r="D27" s="138" t="s">
        <v>33</v>
      </c>
      <c r="E27" s="138" t="s">
        <v>87</v>
      </c>
      <c r="G27" s="138" t="s">
        <v>55</v>
      </c>
    </row>
    <row r="28" spans="1:7" x14ac:dyDescent="0.3">
      <c r="A28" s="138" t="s">
        <v>35</v>
      </c>
      <c r="C28" s="121"/>
      <c r="D28" s="121"/>
      <c r="G28" s="138">
        <f>SUM(C28:F28)</f>
        <v>0</v>
      </c>
    </row>
    <row r="29" spans="1:7" x14ac:dyDescent="0.3">
      <c r="A29" s="138" t="s">
        <v>36</v>
      </c>
      <c r="C29" s="142"/>
      <c r="G29" s="138">
        <f>SUM(C29:F29)</f>
        <v>0</v>
      </c>
    </row>
    <row r="30" spans="1:7" x14ac:dyDescent="0.3">
      <c r="A30" s="138" t="s">
        <v>141</v>
      </c>
      <c r="C30" s="121"/>
      <c r="G30" s="138">
        <f>SUM(C30:F30)</f>
        <v>0</v>
      </c>
    </row>
    <row r="31" spans="1:7" x14ac:dyDescent="0.3">
      <c r="A31" s="138" t="s">
        <v>37</v>
      </c>
      <c r="C31" s="121"/>
      <c r="D31" s="121"/>
      <c r="G31" s="138">
        <f>SUM(C31:F31)</f>
        <v>0</v>
      </c>
    </row>
    <row r="32" spans="1:7" ht="15.6" x14ac:dyDescent="0.3">
      <c r="A32" s="25" t="s">
        <v>63</v>
      </c>
      <c r="B32" s="25"/>
      <c r="C32" s="25">
        <f>SUM(C28:C31)</f>
        <v>0</v>
      </c>
      <c r="D32" s="61">
        <f>SUM(D28:D31)</f>
        <v>0</v>
      </c>
      <c r="E32" s="25">
        <f>SUM(E28:E31)</f>
        <v>0</v>
      </c>
      <c r="F32" s="138">
        <v>0</v>
      </c>
      <c r="G32" s="25">
        <f>SUM(G28:G31)</f>
        <v>0</v>
      </c>
    </row>
    <row r="34" spans="1:6" ht="15.6" x14ac:dyDescent="0.3">
      <c r="A34" s="26" t="s">
        <v>344</v>
      </c>
      <c r="B34" s="26"/>
      <c r="C34" s="24"/>
      <c r="D34" s="24"/>
      <c r="E34" s="24"/>
      <c r="F34" s="24"/>
    </row>
    <row r="35" spans="1:6" x14ac:dyDescent="0.3">
      <c r="A35" s="138" t="s">
        <v>35</v>
      </c>
      <c r="F35" s="138">
        <f>G28-G3</f>
        <v>-35859</v>
      </c>
    </row>
    <row r="36" spans="1:6" x14ac:dyDescent="0.3">
      <c r="A36" s="138" t="s">
        <v>36</v>
      </c>
      <c r="F36" s="138">
        <f>G29-G4</f>
        <v>0</v>
      </c>
    </row>
    <row r="37" spans="1:6" x14ac:dyDescent="0.3">
      <c r="A37" s="138" t="s">
        <v>37</v>
      </c>
      <c r="F37" s="138">
        <f>G31-G6</f>
        <v>-37912</v>
      </c>
    </row>
    <row r="38" spans="1:6" ht="15.6" x14ac:dyDescent="0.3">
      <c r="A38" s="25" t="s">
        <v>34</v>
      </c>
      <c r="B38" s="25"/>
      <c r="C38" s="25"/>
      <c r="D38" s="25"/>
      <c r="E38" s="25"/>
      <c r="F38" s="25">
        <f>SUM(F35:F37)</f>
        <v>-73771</v>
      </c>
    </row>
    <row r="40" spans="1:6" x14ac:dyDescent="0.3">
      <c r="A40" s="138" t="s">
        <v>46</v>
      </c>
    </row>
    <row r="41" spans="1:6" x14ac:dyDescent="0.3">
      <c r="A41" s="138" t="s">
        <v>47</v>
      </c>
    </row>
    <row r="42" spans="1:6" x14ac:dyDescent="0.3">
      <c r="A42" s="138" t="s">
        <v>48</v>
      </c>
    </row>
    <row r="43" spans="1:6" x14ac:dyDescent="0.3">
      <c r="A43" s="138" t="s">
        <v>49</v>
      </c>
    </row>
    <row r="44" spans="1:6" x14ac:dyDescent="0.3">
      <c r="A44" s="138" t="s">
        <v>50</v>
      </c>
    </row>
    <row r="45" spans="1:6" x14ac:dyDescent="0.3">
      <c r="A45" s="138" t="s">
        <v>114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61</vt:i4>
      </vt:variant>
    </vt:vector>
  </HeadingPairs>
  <TitlesOfParts>
    <vt:vector size="61" baseType="lpstr">
      <vt:lpstr>Invoicing</vt:lpstr>
      <vt:lpstr>Inventory 04302015 - 06012015 </vt:lpstr>
      <vt:lpstr>inventory 06012015-07012015 </vt:lpstr>
      <vt:lpstr>inventory 07012015-08032015</vt:lpstr>
      <vt:lpstr>inventory 08032015-09042015</vt:lpstr>
      <vt:lpstr>Inventory 09042015-10012015</vt:lpstr>
      <vt:lpstr>inventory 10012015 - 11012015</vt:lpstr>
      <vt:lpstr>inventory 11012015-12012015</vt:lpstr>
      <vt:lpstr>inventory 12012015-01042016</vt:lpstr>
      <vt:lpstr>Inventory 01012016-02012016 </vt:lpstr>
      <vt:lpstr>inventory 02012016-030126</vt:lpstr>
      <vt:lpstr>Inventory 03012016-04012016</vt:lpstr>
      <vt:lpstr>Inventory 04012016-05012016</vt:lpstr>
      <vt:lpstr>inventory 05012016-06012016 </vt:lpstr>
      <vt:lpstr>Inventory 06012016-07012016  </vt:lpstr>
      <vt:lpstr>inventory 07012016-08012016</vt:lpstr>
      <vt:lpstr>inventory 08012016-09012016</vt:lpstr>
      <vt:lpstr>Inventory 09012016-10012016</vt:lpstr>
      <vt:lpstr>inventory 10012016 - 11012016</vt:lpstr>
      <vt:lpstr>Inventory 11012016 - 12012016</vt:lpstr>
      <vt:lpstr>inventory 12012016 - 01012017 </vt:lpstr>
      <vt:lpstr>Inventory 01012017 02012017</vt:lpstr>
      <vt:lpstr>inventory 02012017 03012017</vt:lpstr>
      <vt:lpstr>inventory 03012017 04012017</vt:lpstr>
      <vt:lpstr>Inventory 04012017 05012017</vt:lpstr>
      <vt:lpstr>inventory 05012017 05312017</vt:lpstr>
      <vt:lpstr>inventory 06012017 07012017</vt:lpstr>
      <vt:lpstr>inventory 07012017 08012017 </vt:lpstr>
      <vt:lpstr>inventory 08012017 09012017</vt:lpstr>
      <vt:lpstr>inventory 09012017   10012017</vt:lpstr>
      <vt:lpstr>Inventory 10012017 11012017</vt:lpstr>
      <vt:lpstr>Inventory 11012017 12012017 </vt:lpstr>
      <vt:lpstr>inventory 12012017 01012018</vt:lpstr>
      <vt:lpstr>inventory 01012018 02012018</vt:lpstr>
      <vt:lpstr>inventory 02012018 03012018</vt:lpstr>
      <vt:lpstr>inventory 03012018 04012018</vt:lpstr>
      <vt:lpstr>Inventory 04012018 05012018</vt:lpstr>
      <vt:lpstr>Inventory 05012018 06012018</vt:lpstr>
      <vt:lpstr>Inventory 06012018 07012018</vt:lpstr>
      <vt:lpstr>inventory 07012018 08012018</vt:lpstr>
      <vt:lpstr>Inventory 08012018 09012018 </vt:lpstr>
      <vt:lpstr>Inventory 09012018 10012018</vt:lpstr>
      <vt:lpstr>Inventory 10012018 11012018</vt:lpstr>
      <vt:lpstr>Inventory 11012018 12012018</vt:lpstr>
      <vt:lpstr>Inventory 12.01.2018 01.01.2019</vt:lpstr>
      <vt:lpstr>Inventory 01.01.2019 02.01.2019</vt:lpstr>
      <vt:lpstr>Inventory 02.01.2019 03.01.2019</vt:lpstr>
      <vt:lpstr>Inventory 03.01.2019 04.01.2019</vt:lpstr>
      <vt:lpstr>Inventory 04.01.2019 05.01.2019</vt:lpstr>
      <vt:lpstr>Inventory 05.01.2019 06.01.2019</vt:lpstr>
      <vt:lpstr>Inventory 06.01.2019 07.01.2019</vt:lpstr>
      <vt:lpstr>Inventory 07.01.2019 08.01.2019</vt:lpstr>
      <vt:lpstr>Inventory 08.01.2019 09.01.2019</vt:lpstr>
      <vt:lpstr>Inventory 09.01.2019 10.01.2019</vt:lpstr>
      <vt:lpstr>Inventory 10.01.2019 11.01.2019</vt:lpstr>
      <vt:lpstr>Inventory 11.01.2019 12.01.2019</vt:lpstr>
      <vt:lpstr>Inventory 12.01.2019 01.01.2020</vt:lpstr>
      <vt:lpstr>Inventory 01.01.2020 02.01.2020</vt:lpstr>
      <vt:lpstr>Inventory 02.01.2020 03.01.2020</vt:lpstr>
      <vt:lpstr>Inventory 03.01.2020 04.01.2020</vt:lpstr>
      <vt:lpstr>Inventory 4.01.2020 5.01.2020</vt:lpstr>
    </vt:vector>
  </TitlesOfParts>
  <Company>PNC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Kirk Ballard</dc:creator>
  <cp:lastModifiedBy>Octavio Luis Elliot Freire</cp:lastModifiedBy>
  <cp:lastPrinted>2015-05-16T17:04:57Z</cp:lastPrinted>
  <dcterms:created xsi:type="dcterms:W3CDTF">2015-04-20T19:49:26Z</dcterms:created>
  <dcterms:modified xsi:type="dcterms:W3CDTF">2020-05-18T15:07:31Z</dcterms:modified>
</cp:coreProperties>
</file>